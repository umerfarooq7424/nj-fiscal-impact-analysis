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DATABASE WORK 7_30_23\DATABASE WORK 7_30_23\"/>
    </mc:Choice>
  </mc:AlternateContent>
  <xr:revisionPtr revIDLastSave="0" documentId="13_ncr:1_{2D26829F-4835-4B88-8BC9-6EB5096146E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(SFD 4-5 Bed) Break Even" sheetId="1" r:id="rId1"/>
    <sheet name="(SFD 4-5 Bed) Muni Break Even" sheetId="2" r:id="rId2"/>
    <sheet name="(SFD 3 Bed) Break Even" sheetId="3" r:id="rId3"/>
    <sheet name="(SFD 3 Bed) Muni Break Even" sheetId="4" r:id="rId4"/>
    <sheet name="(SFA 3 Bed) Break Even" sheetId="22" r:id="rId5"/>
    <sheet name="(SFA 3 Bed) Muni Break Even" sheetId="23" r:id="rId6"/>
    <sheet name=" (SFA 2.5 Bed) Break Even" sheetId="5" r:id="rId7"/>
    <sheet name="Adjusted (SFA 2.0 Bed) Break Ev" sheetId="6" r:id="rId8"/>
    <sheet name=" (SFA 2.5 Bed) Muni Break Even" sheetId="7" r:id="rId9"/>
    <sheet name="Adjusted (SFA 2.0 Bed) Muni Bre" sheetId="8" r:id="rId10"/>
    <sheet name="(1.5 Bed Multi) Break Even" sheetId="9" r:id="rId11"/>
    <sheet name="Adjusted(1.5 Bed Multi) Break E" sheetId="10" r:id="rId12"/>
    <sheet name="(1.5 Bed Multi) Muni Break Even" sheetId="11" r:id="rId13"/>
    <sheet name="Adjusted (1.5 Bed Multi) Muni B" sheetId="12" r:id="rId14"/>
    <sheet name="(1 Bed Multi) Muni B" sheetId="24" r:id="rId15"/>
    <sheet name="(2 Bed Multi) Break Even" sheetId="25" r:id="rId16"/>
    <sheet name="Property Tax Base - Equalized" sheetId="13" r:id="rId17"/>
    <sheet name="Property Tax Base - % Breakdown" sheetId="14" r:id="rId18"/>
    <sheet name="Property Tax Base - # Parcels" sheetId="15" r:id="rId19"/>
    <sheet name="Property Tax Base - % Parcels" sheetId="16" r:id="rId20"/>
    <sheet name="Composition of EQ Tax Rate" sheetId="17" r:id="rId21"/>
    <sheet name="% Breakdown of EQ Tax Rate" sheetId="18" r:id="rId22"/>
    <sheet name="Composition of Mun. Revenues" sheetId="19" r:id="rId23"/>
    <sheet name="Tax Levies and EQ Tax Rates" sheetId="20" r:id="rId24"/>
    <sheet name="# and Assessed Value of Parcels" sheetId="21" r:id="rId25"/>
  </sheets>
  <externalReferences>
    <externalReference r:id="rId26"/>
  </externalReferences>
  <calcPr calcId="191029"/>
</workbook>
</file>

<file path=xl/calcChain.xml><?xml version="1.0" encoding="utf-8"?>
<calcChain xmlns="http://schemas.openxmlformats.org/spreadsheetml/2006/main">
  <c r="N14" i="1" l="1"/>
  <c r="P14" i="1" s="1"/>
  <c r="R14" i="1" s="1"/>
  <c r="C14" i="1" s="1"/>
  <c r="E14" i="1" s="1"/>
  <c r="F14" i="1" s="1"/>
  <c r="N13" i="1"/>
  <c r="P13" i="1" s="1"/>
  <c r="R13" i="1" s="1"/>
  <c r="C13" i="1" s="1"/>
  <c r="N12" i="1"/>
  <c r="P12" i="1" s="1"/>
  <c r="R12" i="1" s="1"/>
  <c r="C12" i="1" s="1"/>
  <c r="N11" i="1"/>
  <c r="P11" i="1" s="1"/>
  <c r="R11" i="1" s="1"/>
  <c r="C11" i="1" s="1"/>
  <c r="N10" i="1"/>
  <c r="P10" i="1" s="1"/>
  <c r="R10" i="1" s="1"/>
  <c r="C10" i="1" s="1"/>
  <c r="E10" i="1" s="1"/>
  <c r="F10" i="1" s="1"/>
  <c r="D14" i="1"/>
  <c r="D13" i="1"/>
  <c r="D12" i="1"/>
  <c r="D11" i="1"/>
  <c r="D10" i="1"/>
  <c r="L14" i="2"/>
  <c r="L13" i="2"/>
  <c r="N13" i="2" s="1"/>
  <c r="P13" i="2" s="1"/>
  <c r="C13" i="2" s="1"/>
  <c r="D13" i="2" s="1"/>
  <c r="L12" i="2"/>
  <c r="N12" i="2" s="1"/>
  <c r="P12" i="2" s="1"/>
  <c r="C12" i="2" s="1"/>
  <c r="D12" i="2" s="1"/>
  <c r="H12" i="2" s="1"/>
  <c r="L11" i="2"/>
  <c r="L10" i="2"/>
  <c r="N10" i="2" s="1"/>
  <c r="P10" i="2" s="1"/>
  <c r="C10" i="2" s="1"/>
  <c r="D10" i="2" s="1"/>
  <c r="N14" i="2"/>
  <c r="P14" i="2" s="1"/>
  <c r="C14" i="2" s="1"/>
  <c r="D14" i="2" s="1"/>
  <c r="N11" i="2"/>
  <c r="P11" i="2" s="1"/>
  <c r="C11" i="2" s="1"/>
  <c r="D11" i="2" s="1"/>
  <c r="I28" i="25"/>
  <c r="J28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10" i="25"/>
  <c r="G28" i="25" s="1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48" i="24" s="1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48" i="24" s="1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48" i="12" s="1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48" i="12" s="1"/>
  <c r="H48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E48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J27" i="10"/>
  <c r="J11" i="10"/>
  <c r="J12" i="10"/>
  <c r="J13" i="10"/>
  <c r="J14" i="10"/>
  <c r="J28" i="10" s="1"/>
  <c r="J15" i="10"/>
  <c r="J16" i="10"/>
  <c r="J17" i="10"/>
  <c r="J18" i="10"/>
  <c r="J19" i="10"/>
  <c r="J20" i="10"/>
  <c r="J21" i="10"/>
  <c r="J22" i="10"/>
  <c r="J23" i="10"/>
  <c r="J24" i="10"/>
  <c r="J25" i="10"/>
  <c r="J26" i="10"/>
  <c r="J10" i="10"/>
  <c r="G28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10" i="10"/>
  <c r="J28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10" i="9"/>
  <c r="G11" i="9"/>
  <c r="G12" i="9"/>
  <c r="G13" i="9"/>
  <c r="G14" i="9"/>
  <c r="G28" i="9" s="1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10" i="9"/>
  <c r="H48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10" i="7"/>
  <c r="E48" i="7" s="1"/>
  <c r="J28" i="6"/>
  <c r="J27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10" i="6"/>
  <c r="G28" i="6" s="1"/>
  <c r="J28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10" i="5"/>
  <c r="G10" i="5"/>
  <c r="G11" i="5"/>
  <c r="G12" i="5"/>
  <c r="G28" i="5" s="1"/>
  <c r="G13" i="5"/>
  <c r="G14" i="5"/>
  <c r="G15" i="5"/>
  <c r="G16" i="5"/>
  <c r="G17" i="5"/>
  <c r="G18" i="5"/>
  <c r="G19" i="5"/>
  <c r="G20" i="5"/>
  <c r="G21" i="5"/>
  <c r="G22" i="5"/>
  <c r="G23" i="5"/>
  <c r="G24" i="5"/>
  <c r="G26" i="5"/>
  <c r="G27" i="5"/>
  <c r="G25" i="5"/>
  <c r="H11" i="23"/>
  <c r="H48" i="23" s="1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10" i="23"/>
  <c r="E48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10" i="23"/>
  <c r="J28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10" i="22"/>
  <c r="G28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10" i="22"/>
  <c r="H48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E11" i="8"/>
  <c r="E12" i="8"/>
  <c r="E13" i="8"/>
  <c r="E14" i="8"/>
  <c r="E15" i="8"/>
  <c r="E16" i="8"/>
  <c r="E17" i="8"/>
  <c r="E18" i="8"/>
  <c r="E48" i="8" s="1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H10" i="8"/>
  <c r="E10" i="8"/>
  <c r="V28" i="25"/>
  <c r="S28" i="25"/>
  <c r="K28" i="25"/>
  <c r="H28" i="25"/>
  <c r="U27" i="25"/>
  <c r="W27" i="25" s="1"/>
  <c r="D27" i="25" s="1"/>
  <c r="Q27" i="25"/>
  <c r="O27" i="25"/>
  <c r="N27" i="25"/>
  <c r="P27" i="25" s="1"/>
  <c r="R27" i="25" s="1"/>
  <c r="T27" i="25" s="1"/>
  <c r="C27" i="25" s="1"/>
  <c r="M27" i="25"/>
  <c r="U26" i="25"/>
  <c r="W26" i="25" s="1"/>
  <c r="D26" i="25" s="1"/>
  <c r="Q26" i="25"/>
  <c r="O26" i="25"/>
  <c r="N26" i="25"/>
  <c r="P26" i="25" s="1"/>
  <c r="R26" i="25" s="1"/>
  <c r="T26" i="25" s="1"/>
  <c r="C26" i="25" s="1"/>
  <c r="E26" i="25" s="1"/>
  <c r="F26" i="25" s="1"/>
  <c r="M26" i="25"/>
  <c r="U25" i="25"/>
  <c r="W25" i="25" s="1"/>
  <c r="D25" i="25" s="1"/>
  <c r="Q25" i="25"/>
  <c r="O25" i="25"/>
  <c r="N25" i="25"/>
  <c r="M25" i="25"/>
  <c r="U24" i="25"/>
  <c r="W24" i="25" s="1"/>
  <c r="D24" i="25" s="1"/>
  <c r="Q24" i="25"/>
  <c r="O24" i="25"/>
  <c r="N24" i="25"/>
  <c r="P24" i="25" s="1"/>
  <c r="M24" i="25"/>
  <c r="U23" i="25"/>
  <c r="W23" i="25" s="1"/>
  <c r="D23" i="25" s="1"/>
  <c r="Q23" i="25"/>
  <c r="O23" i="25"/>
  <c r="N23" i="25"/>
  <c r="P23" i="25" s="1"/>
  <c r="R23" i="25" s="1"/>
  <c r="T23" i="25" s="1"/>
  <c r="C23" i="25" s="1"/>
  <c r="M23" i="25"/>
  <c r="U22" i="25"/>
  <c r="W22" i="25" s="1"/>
  <c r="D22" i="25" s="1"/>
  <c r="Q22" i="25"/>
  <c r="O22" i="25"/>
  <c r="N22" i="25"/>
  <c r="M22" i="25"/>
  <c r="U21" i="25"/>
  <c r="W21" i="25" s="1"/>
  <c r="D21" i="25" s="1"/>
  <c r="Q21" i="25"/>
  <c r="O21" i="25"/>
  <c r="N21" i="25"/>
  <c r="P21" i="25" s="1"/>
  <c r="M21" i="25"/>
  <c r="U20" i="25"/>
  <c r="W20" i="25" s="1"/>
  <c r="D20" i="25" s="1"/>
  <c r="Q20" i="25"/>
  <c r="O20" i="25"/>
  <c r="N20" i="25"/>
  <c r="P20" i="25" s="1"/>
  <c r="R20" i="25" s="1"/>
  <c r="T20" i="25" s="1"/>
  <c r="C20" i="25" s="1"/>
  <c r="E20" i="25" s="1"/>
  <c r="M20" i="25"/>
  <c r="U19" i="25"/>
  <c r="W19" i="25" s="1"/>
  <c r="D19" i="25" s="1"/>
  <c r="Q19" i="25"/>
  <c r="O19" i="25"/>
  <c r="N19" i="25"/>
  <c r="P19" i="25" s="1"/>
  <c r="M19" i="25"/>
  <c r="U18" i="25"/>
  <c r="W18" i="25" s="1"/>
  <c r="D18" i="25" s="1"/>
  <c r="Q18" i="25"/>
  <c r="O18" i="25"/>
  <c r="N18" i="25"/>
  <c r="M18" i="25"/>
  <c r="U17" i="25"/>
  <c r="W17" i="25" s="1"/>
  <c r="D17" i="25" s="1"/>
  <c r="Q17" i="25"/>
  <c r="O17" i="25"/>
  <c r="N17" i="25"/>
  <c r="M17" i="25"/>
  <c r="U16" i="25"/>
  <c r="W16" i="25" s="1"/>
  <c r="D16" i="25" s="1"/>
  <c r="Q16" i="25"/>
  <c r="O16" i="25"/>
  <c r="N16" i="25"/>
  <c r="P16" i="25" s="1"/>
  <c r="R16" i="25" s="1"/>
  <c r="T16" i="25" s="1"/>
  <c r="C16" i="25" s="1"/>
  <c r="M16" i="25"/>
  <c r="U15" i="25"/>
  <c r="W15" i="25" s="1"/>
  <c r="D15" i="25" s="1"/>
  <c r="Q15" i="25"/>
  <c r="O15" i="25"/>
  <c r="N15" i="25"/>
  <c r="P15" i="25" s="1"/>
  <c r="M15" i="25"/>
  <c r="U14" i="25"/>
  <c r="W14" i="25" s="1"/>
  <c r="D14" i="25" s="1"/>
  <c r="Q14" i="25"/>
  <c r="O14" i="25"/>
  <c r="N14" i="25"/>
  <c r="P14" i="25" s="1"/>
  <c r="R14" i="25" s="1"/>
  <c r="T14" i="25" s="1"/>
  <c r="C14" i="25" s="1"/>
  <c r="E14" i="25" s="1"/>
  <c r="M14" i="25"/>
  <c r="U13" i="25"/>
  <c r="W13" i="25" s="1"/>
  <c r="D13" i="25" s="1"/>
  <c r="Q13" i="25"/>
  <c r="O13" i="25"/>
  <c r="N13" i="25"/>
  <c r="P13" i="25" s="1"/>
  <c r="M13" i="25"/>
  <c r="U12" i="25"/>
  <c r="W12" i="25" s="1"/>
  <c r="D12" i="25" s="1"/>
  <c r="Q12" i="25"/>
  <c r="O12" i="25"/>
  <c r="N12" i="25"/>
  <c r="M12" i="25"/>
  <c r="U11" i="25"/>
  <c r="W11" i="25" s="1"/>
  <c r="D11" i="25" s="1"/>
  <c r="Q11" i="25"/>
  <c r="O11" i="25"/>
  <c r="N11" i="25"/>
  <c r="P11" i="25" s="1"/>
  <c r="M11" i="25"/>
  <c r="U10" i="25"/>
  <c r="Q10" i="25"/>
  <c r="O10" i="25"/>
  <c r="N10" i="25"/>
  <c r="M10" i="25"/>
  <c r="Q48" i="24"/>
  <c r="K48" i="24"/>
  <c r="I48" i="24"/>
  <c r="F48" i="24"/>
  <c r="O47" i="24"/>
  <c r="M47" i="24"/>
  <c r="L47" i="24"/>
  <c r="O46" i="24"/>
  <c r="M46" i="24"/>
  <c r="L46" i="24"/>
  <c r="N46" i="24" s="1"/>
  <c r="P46" i="24" s="1"/>
  <c r="R46" i="24" s="1"/>
  <c r="C46" i="24" s="1"/>
  <c r="D46" i="24" s="1"/>
  <c r="O45" i="24"/>
  <c r="M45" i="24"/>
  <c r="L45" i="24"/>
  <c r="N45" i="24" s="1"/>
  <c r="P45" i="24" s="1"/>
  <c r="R45" i="24" s="1"/>
  <c r="C45" i="24" s="1"/>
  <c r="D45" i="24" s="1"/>
  <c r="O44" i="24"/>
  <c r="M44" i="24"/>
  <c r="L44" i="24"/>
  <c r="N44" i="24" s="1"/>
  <c r="O43" i="24"/>
  <c r="M43" i="24"/>
  <c r="L43" i="24"/>
  <c r="N43" i="24" s="1"/>
  <c r="P43" i="24" s="1"/>
  <c r="R43" i="24" s="1"/>
  <c r="C43" i="24" s="1"/>
  <c r="D43" i="24" s="1"/>
  <c r="O42" i="24"/>
  <c r="M42" i="24"/>
  <c r="N42" i="24" s="1"/>
  <c r="L42" i="24"/>
  <c r="O41" i="24"/>
  <c r="M41" i="24"/>
  <c r="L41" i="24"/>
  <c r="N41" i="24" s="1"/>
  <c r="P41" i="24" s="1"/>
  <c r="R41" i="24" s="1"/>
  <c r="C41" i="24" s="1"/>
  <c r="D41" i="24" s="1"/>
  <c r="O40" i="24"/>
  <c r="M40" i="24"/>
  <c r="L40" i="24"/>
  <c r="N40" i="24" s="1"/>
  <c r="P40" i="24" s="1"/>
  <c r="R40" i="24" s="1"/>
  <c r="C40" i="24" s="1"/>
  <c r="D40" i="24" s="1"/>
  <c r="O39" i="24"/>
  <c r="M39" i="24"/>
  <c r="L39" i="24"/>
  <c r="N39" i="24" s="1"/>
  <c r="P39" i="24" s="1"/>
  <c r="R39" i="24" s="1"/>
  <c r="C39" i="24" s="1"/>
  <c r="D39" i="24" s="1"/>
  <c r="O38" i="24"/>
  <c r="M38" i="24"/>
  <c r="L38" i="24"/>
  <c r="O37" i="24"/>
  <c r="M37" i="24"/>
  <c r="L37" i="24"/>
  <c r="O36" i="24"/>
  <c r="M36" i="24"/>
  <c r="L36" i="24"/>
  <c r="N36" i="24" s="1"/>
  <c r="P36" i="24" s="1"/>
  <c r="R36" i="24" s="1"/>
  <c r="C36" i="24" s="1"/>
  <c r="D36" i="24" s="1"/>
  <c r="O35" i="24"/>
  <c r="M35" i="24"/>
  <c r="L35" i="24"/>
  <c r="N35" i="24" s="1"/>
  <c r="O34" i="24"/>
  <c r="M34" i="24"/>
  <c r="L34" i="24"/>
  <c r="N34" i="24" s="1"/>
  <c r="O33" i="24"/>
  <c r="M33" i="24"/>
  <c r="L33" i="24"/>
  <c r="O32" i="24"/>
  <c r="M32" i="24"/>
  <c r="L32" i="24"/>
  <c r="N32" i="24" s="1"/>
  <c r="P32" i="24" s="1"/>
  <c r="R32" i="24" s="1"/>
  <c r="C32" i="24" s="1"/>
  <c r="D32" i="24" s="1"/>
  <c r="O31" i="24"/>
  <c r="M31" i="24"/>
  <c r="L31" i="24"/>
  <c r="O30" i="24"/>
  <c r="M30" i="24"/>
  <c r="L30" i="24"/>
  <c r="N30" i="24" s="1"/>
  <c r="P30" i="24" s="1"/>
  <c r="R30" i="24" s="1"/>
  <c r="C30" i="24" s="1"/>
  <c r="D30" i="24" s="1"/>
  <c r="O29" i="24"/>
  <c r="M29" i="24"/>
  <c r="L29" i="24"/>
  <c r="O28" i="24"/>
  <c r="M28" i="24"/>
  <c r="L28" i="24"/>
  <c r="N28" i="24" s="1"/>
  <c r="P28" i="24" s="1"/>
  <c r="R28" i="24" s="1"/>
  <c r="C28" i="24" s="1"/>
  <c r="D28" i="24" s="1"/>
  <c r="O27" i="24"/>
  <c r="M27" i="24"/>
  <c r="L27" i="24"/>
  <c r="N27" i="24" s="1"/>
  <c r="P27" i="24" s="1"/>
  <c r="R27" i="24" s="1"/>
  <c r="C27" i="24" s="1"/>
  <c r="D27" i="24" s="1"/>
  <c r="O26" i="24"/>
  <c r="M26" i="24"/>
  <c r="L26" i="24"/>
  <c r="N26" i="24" s="1"/>
  <c r="O25" i="24"/>
  <c r="M25" i="24"/>
  <c r="L25" i="24"/>
  <c r="N25" i="24" s="1"/>
  <c r="P25" i="24" s="1"/>
  <c r="R25" i="24" s="1"/>
  <c r="C25" i="24" s="1"/>
  <c r="D25" i="24" s="1"/>
  <c r="O24" i="24"/>
  <c r="M24" i="24"/>
  <c r="N24" i="24" s="1"/>
  <c r="P24" i="24" s="1"/>
  <c r="R24" i="24" s="1"/>
  <c r="C24" i="24" s="1"/>
  <c r="D24" i="24" s="1"/>
  <c r="L24" i="24"/>
  <c r="O23" i="24"/>
  <c r="M23" i="24"/>
  <c r="L23" i="24"/>
  <c r="N23" i="24" s="1"/>
  <c r="P23" i="24" s="1"/>
  <c r="R23" i="24" s="1"/>
  <c r="C23" i="24" s="1"/>
  <c r="D23" i="24" s="1"/>
  <c r="O22" i="24"/>
  <c r="M22" i="24"/>
  <c r="L22" i="24"/>
  <c r="O21" i="24"/>
  <c r="M21" i="24"/>
  <c r="L21" i="24"/>
  <c r="N21" i="24" s="1"/>
  <c r="O20" i="24"/>
  <c r="M20" i="24"/>
  <c r="L20" i="24"/>
  <c r="N20" i="24" s="1"/>
  <c r="P20" i="24" s="1"/>
  <c r="R20" i="24" s="1"/>
  <c r="C20" i="24" s="1"/>
  <c r="D20" i="24" s="1"/>
  <c r="O19" i="24"/>
  <c r="M19" i="24"/>
  <c r="L19" i="24"/>
  <c r="N19" i="24" s="1"/>
  <c r="O18" i="24"/>
  <c r="M18" i="24"/>
  <c r="L18" i="24"/>
  <c r="N18" i="24" s="1"/>
  <c r="P18" i="24" s="1"/>
  <c r="R18" i="24" s="1"/>
  <c r="C18" i="24" s="1"/>
  <c r="D18" i="24" s="1"/>
  <c r="O17" i="24"/>
  <c r="M17" i="24"/>
  <c r="L17" i="24"/>
  <c r="O16" i="24"/>
  <c r="M16" i="24"/>
  <c r="L16" i="24"/>
  <c r="O15" i="24"/>
  <c r="M15" i="24"/>
  <c r="L15" i="24"/>
  <c r="O14" i="24"/>
  <c r="M14" i="24"/>
  <c r="L14" i="24"/>
  <c r="N14" i="24" s="1"/>
  <c r="P14" i="24" s="1"/>
  <c r="R14" i="24" s="1"/>
  <c r="C14" i="24" s="1"/>
  <c r="D14" i="24" s="1"/>
  <c r="O13" i="24"/>
  <c r="M13" i="24"/>
  <c r="L13" i="24"/>
  <c r="N13" i="24" s="1"/>
  <c r="O12" i="24"/>
  <c r="M12" i="24"/>
  <c r="L12" i="24"/>
  <c r="N12" i="24" s="1"/>
  <c r="P12" i="24" s="1"/>
  <c r="R12" i="24" s="1"/>
  <c r="C12" i="24" s="1"/>
  <c r="D12" i="24" s="1"/>
  <c r="O11" i="24"/>
  <c r="M11" i="24"/>
  <c r="L11" i="24"/>
  <c r="N11" i="24" s="1"/>
  <c r="P11" i="24" s="1"/>
  <c r="R11" i="24" s="1"/>
  <c r="C11" i="24" s="1"/>
  <c r="D11" i="24" s="1"/>
  <c r="O10" i="24"/>
  <c r="M10" i="24"/>
  <c r="L10" i="24"/>
  <c r="N10" i="24" s="1"/>
  <c r="Q48" i="23"/>
  <c r="K48" i="23"/>
  <c r="I48" i="23"/>
  <c r="F48" i="23"/>
  <c r="O47" i="23"/>
  <c r="M47" i="23"/>
  <c r="L47" i="23"/>
  <c r="N47" i="23" s="1"/>
  <c r="O46" i="23"/>
  <c r="M46" i="23"/>
  <c r="L46" i="23"/>
  <c r="N46" i="23" s="1"/>
  <c r="P46" i="23" s="1"/>
  <c r="R46" i="23" s="1"/>
  <c r="C46" i="23" s="1"/>
  <c r="D46" i="23" s="1"/>
  <c r="J46" i="23" s="1"/>
  <c r="G46" i="23"/>
  <c r="O45" i="23"/>
  <c r="M45" i="23"/>
  <c r="L45" i="23"/>
  <c r="O44" i="23"/>
  <c r="M44" i="23"/>
  <c r="L44" i="23"/>
  <c r="N44" i="23" s="1"/>
  <c r="O43" i="23"/>
  <c r="M43" i="23"/>
  <c r="L43" i="23"/>
  <c r="N43" i="23" s="1"/>
  <c r="P43" i="23" s="1"/>
  <c r="R43" i="23" s="1"/>
  <c r="C43" i="23" s="1"/>
  <c r="D43" i="23" s="1"/>
  <c r="O42" i="23"/>
  <c r="M42" i="23"/>
  <c r="L42" i="23"/>
  <c r="O41" i="23"/>
  <c r="M41" i="23"/>
  <c r="L41" i="23"/>
  <c r="N41" i="23" s="1"/>
  <c r="P41" i="23" s="1"/>
  <c r="R41" i="23" s="1"/>
  <c r="C41" i="23" s="1"/>
  <c r="D41" i="23" s="1"/>
  <c r="O40" i="23"/>
  <c r="M40" i="23"/>
  <c r="L40" i="23"/>
  <c r="O39" i="23"/>
  <c r="M39" i="23"/>
  <c r="L39" i="23"/>
  <c r="O38" i="23"/>
  <c r="M38" i="23"/>
  <c r="L38" i="23"/>
  <c r="N38" i="23" s="1"/>
  <c r="P38" i="23" s="1"/>
  <c r="R38" i="23" s="1"/>
  <c r="C38" i="23" s="1"/>
  <c r="D38" i="23" s="1"/>
  <c r="O37" i="23"/>
  <c r="M37" i="23"/>
  <c r="L37" i="23"/>
  <c r="N37" i="23" s="1"/>
  <c r="O36" i="23"/>
  <c r="M36" i="23"/>
  <c r="L36" i="23"/>
  <c r="N36" i="23" s="1"/>
  <c r="O35" i="23"/>
  <c r="M35" i="23"/>
  <c r="L35" i="23"/>
  <c r="O34" i="23"/>
  <c r="M34" i="23"/>
  <c r="L34" i="23"/>
  <c r="N34" i="23" s="1"/>
  <c r="O33" i="23"/>
  <c r="M33" i="23"/>
  <c r="L33" i="23"/>
  <c r="N33" i="23" s="1"/>
  <c r="P33" i="23" s="1"/>
  <c r="R33" i="23" s="1"/>
  <c r="C33" i="23" s="1"/>
  <c r="D33" i="23" s="1"/>
  <c r="O32" i="23"/>
  <c r="M32" i="23"/>
  <c r="L32" i="23"/>
  <c r="O31" i="23"/>
  <c r="M31" i="23"/>
  <c r="L31" i="23"/>
  <c r="O30" i="23"/>
  <c r="M30" i="23"/>
  <c r="L30" i="23"/>
  <c r="O29" i="23"/>
  <c r="M29" i="23"/>
  <c r="L29" i="23"/>
  <c r="N29" i="23" s="1"/>
  <c r="O28" i="23"/>
  <c r="M28" i="23"/>
  <c r="L28" i="23"/>
  <c r="N28" i="23" s="1"/>
  <c r="O27" i="23"/>
  <c r="M27" i="23"/>
  <c r="L27" i="23"/>
  <c r="N27" i="23" s="1"/>
  <c r="O26" i="23"/>
  <c r="M26" i="23"/>
  <c r="L26" i="23"/>
  <c r="N26" i="23" s="1"/>
  <c r="O25" i="23"/>
  <c r="M25" i="23"/>
  <c r="L25" i="23"/>
  <c r="N25" i="23" s="1"/>
  <c r="P25" i="23" s="1"/>
  <c r="R25" i="23" s="1"/>
  <c r="C25" i="23" s="1"/>
  <c r="D25" i="23" s="1"/>
  <c r="O24" i="23"/>
  <c r="M24" i="23"/>
  <c r="L24" i="23"/>
  <c r="O23" i="23"/>
  <c r="M23" i="23"/>
  <c r="L23" i="23"/>
  <c r="O22" i="23"/>
  <c r="M22" i="23"/>
  <c r="L22" i="23"/>
  <c r="O21" i="23"/>
  <c r="M21" i="23"/>
  <c r="L21" i="23"/>
  <c r="O20" i="23"/>
  <c r="M20" i="23"/>
  <c r="L20" i="23"/>
  <c r="N20" i="23" s="1"/>
  <c r="O19" i="23"/>
  <c r="M19" i="23"/>
  <c r="L19" i="23"/>
  <c r="N19" i="23" s="1"/>
  <c r="O18" i="23"/>
  <c r="M18" i="23"/>
  <c r="L18" i="23"/>
  <c r="N18" i="23" s="1"/>
  <c r="P18" i="23" s="1"/>
  <c r="R18" i="23" s="1"/>
  <c r="C18" i="23" s="1"/>
  <c r="D18" i="23" s="1"/>
  <c r="O17" i="23"/>
  <c r="M17" i="23"/>
  <c r="L17" i="23"/>
  <c r="O16" i="23"/>
  <c r="M16" i="23"/>
  <c r="L16" i="23"/>
  <c r="O15" i="23"/>
  <c r="M15" i="23"/>
  <c r="L15" i="23"/>
  <c r="O14" i="23"/>
  <c r="M14" i="23"/>
  <c r="L14" i="23"/>
  <c r="O13" i="23"/>
  <c r="M13" i="23"/>
  <c r="L13" i="23"/>
  <c r="N13" i="23" s="1"/>
  <c r="O12" i="23"/>
  <c r="M12" i="23"/>
  <c r="L12" i="23"/>
  <c r="N12" i="23" s="1"/>
  <c r="O11" i="23"/>
  <c r="M11" i="23"/>
  <c r="L11" i="23"/>
  <c r="N11" i="23" s="1"/>
  <c r="O10" i="23"/>
  <c r="M10" i="23"/>
  <c r="L10" i="23"/>
  <c r="V28" i="22"/>
  <c r="S28" i="22"/>
  <c r="K28" i="22"/>
  <c r="H28" i="22"/>
  <c r="U27" i="22"/>
  <c r="W27" i="22" s="1"/>
  <c r="D27" i="22" s="1"/>
  <c r="Q27" i="22"/>
  <c r="O27" i="22"/>
  <c r="N27" i="22"/>
  <c r="P27" i="22" s="1"/>
  <c r="M27" i="22"/>
  <c r="U26" i="22"/>
  <c r="W26" i="22" s="1"/>
  <c r="D26" i="22" s="1"/>
  <c r="Q26" i="22"/>
  <c r="O26" i="22"/>
  <c r="N26" i="22"/>
  <c r="M26" i="22"/>
  <c r="U25" i="22"/>
  <c r="W25" i="22" s="1"/>
  <c r="D25" i="22" s="1"/>
  <c r="Q25" i="22"/>
  <c r="O25" i="22"/>
  <c r="N25" i="22"/>
  <c r="P25" i="22" s="1"/>
  <c r="R25" i="22" s="1"/>
  <c r="T25" i="22" s="1"/>
  <c r="C25" i="22" s="1"/>
  <c r="M25" i="22"/>
  <c r="U24" i="22"/>
  <c r="W24" i="22" s="1"/>
  <c r="D24" i="22" s="1"/>
  <c r="Q24" i="22"/>
  <c r="O24" i="22"/>
  <c r="N24" i="22"/>
  <c r="P24" i="22" s="1"/>
  <c r="R24" i="22" s="1"/>
  <c r="T24" i="22" s="1"/>
  <c r="C24" i="22" s="1"/>
  <c r="M24" i="22"/>
  <c r="U23" i="22"/>
  <c r="W23" i="22" s="1"/>
  <c r="D23" i="22" s="1"/>
  <c r="Q23" i="22"/>
  <c r="O23" i="22"/>
  <c r="N23" i="22"/>
  <c r="M23" i="22"/>
  <c r="U22" i="22"/>
  <c r="W22" i="22" s="1"/>
  <c r="D22" i="22" s="1"/>
  <c r="Q22" i="22"/>
  <c r="O22" i="22"/>
  <c r="N22" i="22"/>
  <c r="P22" i="22" s="1"/>
  <c r="R22" i="22" s="1"/>
  <c r="T22" i="22" s="1"/>
  <c r="C22" i="22" s="1"/>
  <c r="M22" i="22"/>
  <c r="U21" i="22"/>
  <c r="W21" i="22" s="1"/>
  <c r="D21" i="22" s="1"/>
  <c r="Q21" i="22"/>
  <c r="O21" i="22"/>
  <c r="N21" i="22"/>
  <c r="P21" i="22" s="1"/>
  <c r="M21" i="22"/>
  <c r="U20" i="22"/>
  <c r="W20" i="22" s="1"/>
  <c r="D20" i="22" s="1"/>
  <c r="Q20" i="22"/>
  <c r="O20" i="22"/>
  <c r="N20" i="22"/>
  <c r="M20" i="22"/>
  <c r="U19" i="22"/>
  <c r="W19" i="22" s="1"/>
  <c r="D19" i="22" s="1"/>
  <c r="Q19" i="22"/>
  <c r="O19" i="22"/>
  <c r="N19" i="22"/>
  <c r="M19" i="22"/>
  <c r="U18" i="22"/>
  <c r="W18" i="22" s="1"/>
  <c r="D18" i="22" s="1"/>
  <c r="Q18" i="22"/>
  <c r="O18" i="22"/>
  <c r="N18" i="22"/>
  <c r="M18" i="22"/>
  <c r="U17" i="22"/>
  <c r="W17" i="22" s="1"/>
  <c r="D17" i="22" s="1"/>
  <c r="Q17" i="22"/>
  <c r="O17" i="22"/>
  <c r="N17" i="22"/>
  <c r="P17" i="22" s="1"/>
  <c r="R17" i="22" s="1"/>
  <c r="T17" i="22" s="1"/>
  <c r="C17" i="22" s="1"/>
  <c r="M17" i="22"/>
  <c r="U16" i="22"/>
  <c r="W16" i="22" s="1"/>
  <c r="D16" i="22" s="1"/>
  <c r="Q16" i="22"/>
  <c r="O16" i="22"/>
  <c r="N16" i="22"/>
  <c r="M16" i="22"/>
  <c r="U15" i="22"/>
  <c r="W15" i="22" s="1"/>
  <c r="D15" i="22" s="1"/>
  <c r="Q15" i="22"/>
  <c r="O15" i="22"/>
  <c r="P15" i="22" s="1"/>
  <c r="R15" i="22" s="1"/>
  <c r="T15" i="22" s="1"/>
  <c r="C15" i="22" s="1"/>
  <c r="E15" i="22" s="1"/>
  <c r="F15" i="22" s="1"/>
  <c r="N15" i="22"/>
  <c r="M15" i="22"/>
  <c r="U14" i="22"/>
  <c r="W14" i="22" s="1"/>
  <c r="D14" i="22" s="1"/>
  <c r="Q14" i="22"/>
  <c r="O14" i="22"/>
  <c r="N14" i="22"/>
  <c r="P14" i="22" s="1"/>
  <c r="R14" i="22" s="1"/>
  <c r="T14" i="22" s="1"/>
  <c r="C14" i="22" s="1"/>
  <c r="E14" i="22" s="1"/>
  <c r="M14" i="22"/>
  <c r="U13" i="22"/>
  <c r="W13" i="22" s="1"/>
  <c r="D13" i="22" s="1"/>
  <c r="Q13" i="22"/>
  <c r="O13" i="22"/>
  <c r="N13" i="22"/>
  <c r="P13" i="22" s="1"/>
  <c r="R13" i="22" s="1"/>
  <c r="T13" i="22" s="1"/>
  <c r="C13" i="22" s="1"/>
  <c r="M13" i="22"/>
  <c r="U12" i="22"/>
  <c r="W12" i="22" s="1"/>
  <c r="D12" i="22" s="1"/>
  <c r="Q12" i="22"/>
  <c r="O12" i="22"/>
  <c r="N12" i="22"/>
  <c r="M12" i="22"/>
  <c r="U11" i="22"/>
  <c r="W11" i="22" s="1"/>
  <c r="D11" i="22" s="1"/>
  <c r="Q11" i="22"/>
  <c r="O11" i="22"/>
  <c r="N11" i="22"/>
  <c r="P11" i="22" s="1"/>
  <c r="R11" i="22" s="1"/>
  <c r="T11" i="22" s="1"/>
  <c r="C11" i="22" s="1"/>
  <c r="M11" i="22"/>
  <c r="U10" i="22"/>
  <c r="Q10" i="22"/>
  <c r="O10" i="22"/>
  <c r="N10" i="22"/>
  <c r="M10" i="22"/>
  <c r="V28" i="10"/>
  <c r="S28" i="10"/>
  <c r="K28" i="10"/>
  <c r="H28" i="10"/>
  <c r="V28" i="9"/>
  <c r="S28" i="9"/>
  <c r="K28" i="9"/>
  <c r="H28" i="9"/>
  <c r="V28" i="6"/>
  <c r="S28" i="6"/>
  <c r="K28" i="6"/>
  <c r="H28" i="6"/>
  <c r="V28" i="5"/>
  <c r="S28" i="5"/>
  <c r="K28" i="5"/>
  <c r="H28" i="5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Q48" i="12"/>
  <c r="K48" i="12"/>
  <c r="I48" i="12"/>
  <c r="F48" i="12"/>
  <c r="Q48" i="11"/>
  <c r="K48" i="11"/>
  <c r="I48" i="11"/>
  <c r="F48" i="11"/>
  <c r="Q48" i="8"/>
  <c r="K48" i="8"/>
  <c r="I48" i="8"/>
  <c r="F48" i="8"/>
  <c r="Q48" i="7"/>
  <c r="K48" i="7"/>
  <c r="I48" i="7"/>
  <c r="F48" i="7"/>
  <c r="O48" i="4"/>
  <c r="M48" i="4"/>
  <c r="J48" i="4"/>
  <c r="I48" i="4"/>
  <c r="G48" i="4"/>
  <c r="E48" i="4"/>
  <c r="O22" i="12"/>
  <c r="M22" i="12"/>
  <c r="L22" i="12"/>
  <c r="O22" i="11"/>
  <c r="M22" i="11"/>
  <c r="L22" i="11"/>
  <c r="N22" i="11" s="1"/>
  <c r="P22" i="11" s="1"/>
  <c r="R22" i="11" s="1"/>
  <c r="C22" i="11" s="1"/>
  <c r="D22" i="11" s="1"/>
  <c r="O22" i="8"/>
  <c r="M22" i="8"/>
  <c r="L22" i="8"/>
  <c r="N22" i="8" s="1"/>
  <c r="O22" i="7"/>
  <c r="M22" i="7"/>
  <c r="L22" i="7"/>
  <c r="M22" i="4"/>
  <c r="K22" i="4"/>
  <c r="K48" i="4" s="1"/>
  <c r="J22" i="4"/>
  <c r="L22" i="4" l="1"/>
  <c r="N22" i="12"/>
  <c r="P22" i="12" s="1"/>
  <c r="R22" i="12" s="1"/>
  <c r="C22" i="12" s="1"/>
  <c r="D22" i="12" s="1"/>
  <c r="H10" i="1"/>
  <c r="J10" i="1"/>
  <c r="H14" i="1"/>
  <c r="J14" i="1"/>
  <c r="E13" i="1"/>
  <c r="F13" i="1" s="1"/>
  <c r="E12" i="1"/>
  <c r="F12" i="1" s="1"/>
  <c r="E11" i="1"/>
  <c r="F11" i="1" s="1"/>
  <c r="H14" i="2"/>
  <c r="F14" i="2"/>
  <c r="F10" i="2"/>
  <c r="H10" i="2"/>
  <c r="H13" i="2"/>
  <c r="F13" i="2"/>
  <c r="F11" i="2"/>
  <c r="H11" i="2"/>
  <c r="F12" i="2"/>
  <c r="R13" i="25"/>
  <c r="T13" i="25" s="1"/>
  <c r="C13" i="25" s="1"/>
  <c r="E13" i="25" s="1"/>
  <c r="R21" i="25"/>
  <c r="T21" i="25" s="1"/>
  <c r="C21" i="25" s="1"/>
  <c r="E21" i="25" s="1"/>
  <c r="F21" i="25" s="1"/>
  <c r="R24" i="25"/>
  <c r="T24" i="25" s="1"/>
  <c r="C24" i="25" s="1"/>
  <c r="E24" i="25" s="1"/>
  <c r="F24" i="25" s="1"/>
  <c r="L24" i="25" s="1"/>
  <c r="E23" i="25"/>
  <c r="F23" i="25" s="1"/>
  <c r="P25" i="25"/>
  <c r="R25" i="25" s="1"/>
  <c r="T25" i="25" s="1"/>
  <c r="C25" i="25" s="1"/>
  <c r="E27" i="25"/>
  <c r="F27" i="25" s="1"/>
  <c r="L27" i="25" s="1"/>
  <c r="P18" i="25"/>
  <c r="R18" i="25" s="1"/>
  <c r="T18" i="25" s="1"/>
  <c r="C18" i="25" s="1"/>
  <c r="E18" i="25" s="1"/>
  <c r="F18" i="25" s="1"/>
  <c r="I18" i="25" s="1"/>
  <c r="F14" i="25"/>
  <c r="I14" i="25" s="1"/>
  <c r="M28" i="25"/>
  <c r="N28" i="25"/>
  <c r="R11" i="25"/>
  <c r="T11" i="25" s="1"/>
  <c r="C11" i="25" s="1"/>
  <c r="E11" i="25" s="1"/>
  <c r="F11" i="25" s="1"/>
  <c r="L11" i="25" s="1"/>
  <c r="P10" i="25"/>
  <c r="R10" i="25" s="1"/>
  <c r="P22" i="25"/>
  <c r="R22" i="25" s="1"/>
  <c r="T22" i="25" s="1"/>
  <c r="C22" i="25" s="1"/>
  <c r="E22" i="25" s="1"/>
  <c r="F22" i="25" s="1"/>
  <c r="O28" i="25"/>
  <c r="Q28" i="25"/>
  <c r="R15" i="25"/>
  <c r="T15" i="25" s="1"/>
  <c r="C15" i="25" s="1"/>
  <c r="R19" i="25"/>
  <c r="T19" i="25" s="1"/>
  <c r="C19" i="25" s="1"/>
  <c r="F20" i="25"/>
  <c r="F13" i="25"/>
  <c r="L13" i="25" s="1"/>
  <c r="P17" i="25"/>
  <c r="R17" i="25" s="1"/>
  <c r="T17" i="25" s="1"/>
  <c r="C17" i="25" s="1"/>
  <c r="E17" i="25" s="1"/>
  <c r="F17" i="25" s="1"/>
  <c r="I17" i="25" s="1"/>
  <c r="U28" i="25"/>
  <c r="P12" i="25"/>
  <c r="R12" i="25" s="1"/>
  <c r="T12" i="25" s="1"/>
  <c r="C12" i="25" s="1"/>
  <c r="P13" i="24"/>
  <c r="R13" i="24" s="1"/>
  <c r="C13" i="24" s="1"/>
  <c r="D13" i="24" s="1"/>
  <c r="P21" i="24"/>
  <c r="R21" i="24" s="1"/>
  <c r="C21" i="24" s="1"/>
  <c r="D21" i="24" s="1"/>
  <c r="P26" i="24"/>
  <c r="R26" i="24" s="1"/>
  <c r="C26" i="24" s="1"/>
  <c r="D26" i="24" s="1"/>
  <c r="P34" i="24"/>
  <c r="R34" i="24" s="1"/>
  <c r="C34" i="24" s="1"/>
  <c r="D34" i="24" s="1"/>
  <c r="P44" i="24"/>
  <c r="R44" i="24" s="1"/>
  <c r="C44" i="24" s="1"/>
  <c r="D44" i="24" s="1"/>
  <c r="J44" i="24" s="1"/>
  <c r="N22" i="24"/>
  <c r="P22" i="24" s="1"/>
  <c r="R22" i="24" s="1"/>
  <c r="C22" i="24" s="1"/>
  <c r="D22" i="24" s="1"/>
  <c r="J22" i="24" s="1"/>
  <c r="N38" i="24"/>
  <c r="P38" i="24" s="1"/>
  <c r="R38" i="24" s="1"/>
  <c r="C38" i="24" s="1"/>
  <c r="D38" i="24" s="1"/>
  <c r="N16" i="24"/>
  <c r="P16" i="24" s="1"/>
  <c r="R16" i="24" s="1"/>
  <c r="C16" i="24" s="1"/>
  <c r="D16" i="24" s="1"/>
  <c r="G16" i="24" s="1"/>
  <c r="N29" i="24"/>
  <c r="P29" i="24" s="1"/>
  <c r="R29" i="24" s="1"/>
  <c r="C29" i="24" s="1"/>
  <c r="D29" i="24" s="1"/>
  <c r="N37" i="24"/>
  <c r="P37" i="24" s="1"/>
  <c r="R37" i="24" s="1"/>
  <c r="C37" i="24" s="1"/>
  <c r="D37" i="24" s="1"/>
  <c r="M48" i="24"/>
  <c r="P19" i="24"/>
  <c r="R19" i="24" s="1"/>
  <c r="C19" i="24" s="1"/>
  <c r="D19" i="24" s="1"/>
  <c r="P35" i="24"/>
  <c r="R35" i="24" s="1"/>
  <c r="C35" i="24" s="1"/>
  <c r="D35" i="24" s="1"/>
  <c r="G35" i="24" s="1"/>
  <c r="N17" i="24"/>
  <c r="P17" i="24" s="1"/>
  <c r="R17" i="24" s="1"/>
  <c r="C17" i="24" s="1"/>
  <c r="D17" i="24" s="1"/>
  <c r="G17" i="24" s="1"/>
  <c r="N33" i="24"/>
  <c r="P33" i="24" s="1"/>
  <c r="R33" i="24" s="1"/>
  <c r="C33" i="24" s="1"/>
  <c r="D33" i="24" s="1"/>
  <c r="J33" i="24" s="1"/>
  <c r="P10" i="24"/>
  <c r="R10" i="24" s="1"/>
  <c r="O48" i="24"/>
  <c r="N15" i="24"/>
  <c r="P15" i="24" s="1"/>
  <c r="R15" i="24" s="1"/>
  <c r="C15" i="24" s="1"/>
  <c r="D15" i="24" s="1"/>
  <c r="J15" i="24" s="1"/>
  <c r="N31" i="24"/>
  <c r="P31" i="24" s="1"/>
  <c r="R31" i="24" s="1"/>
  <c r="C31" i="24" s="1"/>
  <c r="D31" i="24" s="1"/>
  <c r="J31" i="24" s="1"/>
  <c r="P42" i="24"/>
  <c r="R42" i="24" s="1"/>
  <c r="C42" i="24" s="1"/>
  <c r="D42" i="24" s="1"/>
  <c r="N47" i="24"/>
  <c r="P47" i="24" s="1"/>
  <c r="R47" i="24" s="1"/>
  <c r="C47" i="24" s="1"/>
  <c r="D47" i="24" s="1"/>
  <c r="G47" i="24" s="1"/>
  <c r="N22" i="7"/>
  <c r="P22" i="7" s="1"/>
  <c r="R22" i="7" s="1"/>
  <c r="C22" i="7" s="1"/>
  <c r="D22" i="7" s="1"/>
  <c r="J22" i="7" s="1"/>
  <c r="N24" i="23"/>
  <c r="P24" i="23" s="1"/>
  <c r="R24" i="23" s="1"/>
  <c r="C24" i="23" s="1"/>
  <c r="D24" i="23" s="1"/>
  <c r="N40" i="23"/>
  <c r="P40" i="23" s="1"/>
  <c r="R40" i="23" s="1"/>
  <c r="C40" i="23" s="1"/>
  <c r="D40" i="23" s="1"/>
  <c r="P19" i="23"/>
  <c r="R19" i="23" s="1"/>
  <c r="C19" i="23" s="1"/>
  <c r="D19" i="23" s="1"/>
  <c r="P12" i="23"/>
  <c r="R12" i="23" s="1"/>
  <c r="C12" i="23" s="1"/>
  <c r="D12" i="23" s="1"/>
  <c r="J12" i="23" s="1"/>
  <c r="P28" i="23"/>
  <c r="R28" i="23" s="1"/>
  <c r="C28" i="23" s="1"/>
  <c r="D28" i="23" s="1"/>
  <c r="N23" i="23"/>
  <c r="P23" i="23" s="1"/>
  <c r="R23" i="23" s="1"/>
  <c r="C23" i="23" s="1"/>
  <c r="D23" i="23" s="1"/>
  <c r="G23" i="23" s="1"/>
  <c r="N31" i="23"/>
  <c r="P31" i="23" s="1"/>
  <c r="R31" i="23" s="1"/>
  <c r="C31" i="23" s="1"/>
  <c r="D31" i="23" s="1"/>
  <c r="N39" i="23"/>
  <c r="P39" i="23" s="1"/>
  <c r="R39" i="23" s="1"/>
  <c r="C39" i="23" s="1"/>
  <c r="D39" i="23" s="1"/>
  <c r="J39" i="23" s="1"/>
  <c r="M48" i="23"/>
  <c r="P13" i="23"/>
  <c r="R13" i="23" s="1"/>
  <c r="C13" i="23" s="1"/>
  <c r="D13" i="23" s="1"/>
  <c r="P29" i="23"/>
  <c r="R29" i="23" s="1"/>
  <c r="C29" i="23" s="1"/>
  <c r="D29" i="23" s="1"/>
  <c r="P34" i="23"/>
  <c r="R34" i="23" s="1"/>
  <c r="C34" i="23" s="1"/>
  <c r="D34" i="23" s="1"/>
  <c r="J34" i="23" s="1"/>
  <c r="P44" i="23"/>
  <c r="R44" i="23" s="1"/>
  <c r="C44" i="23" s="1"/>
  <c r="D44" i="23" s="1"/>
  <c r="G44" i="23" s="1"/>
  <c r="N16" i="23"/>
  <c r="P16" i="23" s="1"/>
  <c r="R16" i="23" s="1"/>
  <c r="C16" i="23" s="1"/>
  <c r="D16" i="23" s="1"/>
  <c r="G16" i="23" s="1"/>
  <c r="N32" i="23"/>
  <c r="P32" i="23" s="1"/>
  <c r="R32" i="23" s="1"/>
  <c r="C32" i="23" s="1"/>
  <c r="D32" i="23" s="1"/>
  <c r="N17" i="23"/>
  <c r="P17" i="23" s="1"/>
  <c r="R17" i="23" s="1"/>
  <c r="C17" i="23" s="1"/>
  <c r="D17" i="23" s="1"/>
  <c r="P11" i="23"/>
  <c r="R11" i="23" s="1"/>
  <c r="C11" i="23" s="1"/>
  <c r="D11" i="23" s="1"/>
  <c r="G11" i="23" s="1"/>
  <c r="P27" i="23"/>
  <c r="R27" i="23" s="1"/>
  <c r="C27" i="23" s="1"/>
  <c r="D27" i="23" s="1"/>
  <c r="J27" i="23" s="1"/>
  <c r="P37" i="23"/>
  <c r="R37" i="23" s="1"/>
  <c r="C37" i="23" s="1"/>
  <c r="D37" i="23" s="1"/>
  <c r="G37" i="23" s="1"/>
  <c r="N22" i="23"/>
  <c r="P22" i="23" s="1"/>
  <c r="R22" i="23" s="1"/>
  <c r="C22" i="23" s="1"/>
  <c r="D22" i="23" s="1"/>
  <c r="J22" i="23" s="1"/>
  <c r="N35" i="23"/>
  <c r="P35" i="23" s="1"/>
  <c r="R35" i="23" s="1"/>
  <c r="C35" i="23" s="1"/>
  <c r="D35" i="23" s="1"/>
  <c r="G35" i="23" s="1"/>
  <c r="N30" i="23"/>
  <c r="P30" i="23" s="1"/>
  <c r="R30" i="23" s="1"/>
  <c r="C30" i="23" s="1"/>
  <c r="D30" i="23" s="1"/>
  <c r="J30" i="23" s="1"/>
  <c r="P36" i="23"/>
  <c r="R36" i="23" s="1"/>
  <c r="C36" i="23" s="1"/>
  <c r="D36" i="23" s="1"/>
  <c r="N14" i="23"/>
  <c r="P14" i="23" s="1"/>
  <c r="R14" i="23" s="1"/>
  <c r="C14" i="23" s="1"/>
  <c r="D14" i="23" s="1"/>
  <c r="G14" i="23" s="1"/>
  <c r="P20" i="23"/>
  <c r="R20" i="23" s="1"/>
  <c r="C20" i="23" s="1"/>
  <c r="D20" i="23" s="1"/>
  <c r="J20" i="23" s="1"/>
  <c r="N42" i="23"/>
  <c r="P42" i="23" s="1"/>
  <c r="R42" i="23" s="1"/>
  <c r="C42" i="23" s="1"/>
  <c r="D42" i="23" s="1"/>
  <c r="G42" i="23" s="1"/>
  <c r="N21" i="23"/>
  <c r="P21" i="23" s="1"/>
  <c r="R21" i="23" s="1"/>
  <c r="C21" i="23" s="1"/>
  <c r="D21" i="23" s="1"/>
  <c r="J21" i="23" s="1"/>
  <c r="P26" i="23"/>
  <c r="R26" i="23" s="1"/>
  <c r="C26" i="23" s="1"/>
  <c r="D26" i="23" s="1"/>
  <c r="G26" i="23" s="1"/>
  <c r="P47" i="23"/>
  <c r="R47" i="23" s="1"/>
  <c r="C47" i="23" s="1"/>
  <c r="D47" i="23" s="1"/>
  <c r="J47" i="23" s="1"/>
  <c r="L48" i="23"/>
  <c r="N15" i="23"/>
  <c r="P15" i="23" s="1"/>
  <c r="R15" i="23" s="1"/>
  <c r="C15" i="23" s="1"/>
  <c r="D15" i="23" s="1"/>
  <c r="N45" i="23"/>
  <c r="P45" i="23" s="1"/>
  <c r="R45" i="23" s="1"/>
  <c r="C45" i="23" s="1"/>
  <c r="D45" i="23" s="1"/>
  <c r="G45" i="23" s="1"/>
  <c r="P20" i="22"/>
  <c r="R20" i="22" s="1"/>
  <c r="T20" i="22" s="1"/>
  <c r="C20" i="22" s="1"/>
  <c r="E20" i="22" s="1"/>
  <c r="F20" i="22" s="1"/>
  <c r="N28" i="22"/>
  <c r="E13" i="22"/>
  <c r="F13" i="22" s="1"/>
  <c r="P19" i="22"/>
  <c r="R19" i="22" s="1"/>
  <c r="T19" i="22" s="1"/>
  <c r="C19" i="22" s="1"/>
  <c r="E19" i="22" s="1"/>
  <c r="F19" i="22" s="1"/>
  <c r="R21" i="22"/>
  <c r="T21" i="22" s="1"/>
  <c r="C21" i="22" s="1"/>
  <c r="E21" i="22" s="1"/>
  <c r="F21" i="22" s="1"/>
  <c r="P10" i="22"/>
  <c r="R10" i="22" s="1"/>
  <c r="P18" i="22"/>
  <c r="R18" i="22" s="1"/>
  <c r="T18" i="22" s="1"/>
  <c r="C18" i="22" s="1"/>
  <c r="U28" i="22"/>
  <c r="W10" i="22"/>
  <c r="D10" i="22" s="1"/>
  <c r="D28" i="22" s="1"/>
  <c r="P12" i="22"/>
  <c r="R12" i="22" s="1"/>
  <c r="T12" i="22" s="1"/>
  <c r="C12" i="22" s="1"/>
  <c r="E12" i="22" s="1"/>
  <c r="F12" i="22" s="1"/>
  <c r="I12" i="22" s="1"/>
  <c r="P16" i="22"/>
  <c r="R16" i="22" s="1"/>
  <c r="T16" i="22" s="1"/>
  <c r="C16" i="22" s="1"/>
  <c r="E16" i="22" s="1"/>
  <c r="F16" i="22" s="1"/>
  <c r="R27" i="22"/>
  <c r="T27" i="22" s="1"/>
  <c r="C27" i="22" s="1"/>
  <c r="E27" i="22" s="1"/>
  <c r="F27" i="22" s="1"/>
  <c r="L27" i="22" s="1"/>
  <c r="F14" i="22"/>
  <c r="P26" i="22"/>
  <c r="R26" i="22" s="1"/>
  <c r="T26" i="22" s="1"/>
  <c r="C26" i="22" s="1"/>
  <c r="E26" i="22" s="1"/>
  <c r="F26" i="22" s="1"/>
  <c r="Q28" i="22"/>
  <c r="M28" i="22"/>
  <c r="P23" i="22"/>
  <c r="R23" i="22" s="1"/>
  <c r="T23" i="22" s="1"/>
  <c r="C23" i="22" s="1"/>
  <c r="E23" i="22" s="1"/>
  <c r="F23" i="22" s="1"/>
  <c r="P22" i="8"/>
  <c r="R22" i="8" s="1"/>
  <c r="C22" i="8" s="1"/>
  <c r="D22" i="8" s="1"/>
  <c r="J22" i="8" s="1"/>
  <c r="E16" i="25"/>
  <c r="F16" i="25" s="1"/>
  <c r="L16" i="25" s="1"/>
  <c r="I20" i="25"/>
  <c r="L20" i="25"/>
  <c r="I16" i="25"/>
  <c r="E15" i="25"/>
  <c r="F15" i="25" s="1"/>
  <c r="E19" i="25"/>
  <c r="F19" i="25" s="1"/>
  <c r="E25" i="25"/>
  <c r="F25" i="25" s="1"/>
  <c r="L21" i="25"/>
  <c r="I21" i="25"/>
  <c r="I11" i="25"/>
  <c r="L26" i="25"/>
  <c r="I26" i="25"/>
  <c r="E12" i="25"/>
  <c r="F12" i="25" s="1"/>
  <c r="W10" i="25"/>
  <c r="J29" i="24"/>
  <c r="G29" i="24"/>
  <c r="G40" i="24"/>
  <c r="J40" i="24"/>
  <c r="J11" i="24"/>
  <c r="G11" i="24"/>
  <c r="J27" i="24"/>
  <c r="G27" i="24"/>
  <c r="G38" i="24"/>
  <c r="J38" i="24"/>
  <c r="J43" i="24"/>
  <c r="G43" i="24"/>
  <c r="G44" i="24"/>
  <c r="J13" i="24"/>
  <c r="G13" i="24"/>
  <c r="G20" i="24"/>
  <c r="J20" i="24"/>
  <c r="J25" i="24"/>
  <c r="G25" i="24"/>
  <c r="J36" i="24"/>
  <c r="G36" i="24"/>
  <c r="J41" i="24"/>
  <c r="G41" i="24"/>
  <c r="J12" i="24"/>
  <c r="G12" i="24"/>
  <c r="G26" i="24"/>
  <c r="J26" i="24"/>
  <c r="J24" i="24"/>
  <c r="G24" i="24"/>
  <c r="J18" i="24"/>
  <c r="G18" i="24"/>
  <c r="J23" i="24"/>
  <c r="G23" i="24"/>
  <c r="G34" i="24"/>
  <c r="J34" i="24"/>
  <c r="J39" i="24"/>
  <c r="G39" i="24"/>
  <c r="G28" i="24"/>
  <c r="J28" i="24"/>
  <c r="J47" i="24"/>
  <c r="J16" i="24"/>
  <c r="J21" i="24"/>
  <c r="G21" i="24"/>
  <c r="J32" i="24"/>
  <c r="G32" i="24"/>
  <c r="J37" i="24"/>
  <c r="G37" i="24"/>
  <c r="G42" i="24"/>
  <c r="J42" i="24"/>
  <c r="J45" i="24"/>
  <c r="G45" i="24"/>
  <c r="J14" i="24"/>
  <c r="G14" i="24"/>
  <c r="J19" i="24"/>
  <c r="G19" i="24"/>
  <c r="J30" i="24"/>
  <c r="G30" i="24"/>
  <c r="J35" i="24"/>
  <c r="J46" i="24"/>
  <c r="G46" i="24"/>
  <c r="L48" i="24"/>
  <c r="J42" i="23"/>
  <c r="J33" i="23"/>
  <c r="G33" i="23"/>
  <c r="J35" i="23"/>
  <c r="J40" i="23"/>
  <c r="G40" i="23"/>
  <c r="J17" i="23"/>
  <c r="G17" i="23"/>
  <c r="J19" i="23"/>
  <c r="G19" i="23"/>
  <c r="J24" i="23"/>
  <c r="G24" i="23"/>
  <c r="G34" i="23"/>
  <c r="J18" i="23"/>
  <c r="G18" i="23"/>
  <c r="J23" i="23"/>
  <c r="J29" i="23"/>
  <c r="G29" i="23"/>
  <c r="J38" i="23"/>
  <c r="G38" i="23"/>
  <c r="J45" i="23"/>
  <c r="J13" i="23"/>
  <c r="G13" i="23"/>
  <c r="G27" i="23"/>
  <c r="J43" i="23"/>
  <c r="G43" i="23"/>
  <c r="G15" i="23"/>
  <c r="J15" i="23"/>
  <c r="J41" i="23"/>
  <c r="G41" i="23"/>
  <c r="J25" i="23"/>
  <c r="G25" i="23"/>
  <c r="J32" i="23"/>
  <c r="G32" i="23"/>
  <c r="J36" i="23"/>
  <c r="G36" i="23"/>
  <c r="J14" i="23"/>
  <c r="G21" i="23"/>
  <c r="J28" i="23"/>
  <c r="G28" i="23"/>
  <c r="N10" i="23"/>
  <c r="O48" i="23"/>
  <c r="E11" i="22"/>
  <c r="F11" i="22" s="1"/>
  <c r="L11" i="22" s="1"/>
  <c r="E18" i="22"/>
  <c r="F18" i="22" s="1"/>
  <c r="L18" i="22" s="1"/>
  <c r="L16" i="22"/>
  <c r="I16" i="22"/>
  <c r="L13" i="22"/>
  <c r="I13" i="22"/>
  <c r="L21" i="22"/>
  <c r="I21" i="22"/>
  <c r="I14" i="22"/>
  <c r="L14" i="22"/>
  <c r="L19" i="22"/>
  <c r="I19" i="22"/>
  <c r="I15" i="22"/>
  <c r="L15" i="22"/>
  <c r="E22" i="22"/>
  <c r="F22" i="22" s="1"/>
  <c r="E25" i="22"/>
  <c r="F25" i="22" s="1"/>
  <c r="E17" i="22"/>
  <c r="F17" i="22" s="1"/>
  <c r="W28" i="22"/>
  <c r="E24" i="22"/>
  <c r="F24" i="22" s="1"/>
  <c r="O28" i="22"/>
  <c r="J22" i="12"/>
  <c r="G22" i="12"/>
  <c r="J22" i="11"/>
  <c r="G22" i="11"/>
  <c r="G22" i="8"/>
  <c r="G48" i="8" s="1"/>
  <c r="G22" i="7"/>
  <c r="N22" i="4" l="1"/>
  <c r="L48" i="4"/>
  <c r="J13" i="1"/>
  <c r="H13" i="1"/>
  <c r="J12" i="1"/>
  <c r="H12" i="1"/>
  <c r="H11" i="1"/>
  <c r="J11" i="1"/>
  <c r="L23" i="25"/>
  <c r="I23" i="25"/>
  <c r="L14" i="25"/>
  <c r="L18" i="25"/>
  <c r="I24" i="25"/>
  <c r="I27" i="25"/>
  <c r="R28" i="25"/>
  <c r="I13" i="25"/>
  <c r="T10" i="25"/>
  <c r="T28" i="25" s="1"/>
  <c r="P28" i="25"/>
  <c r="L17" i="25"/>
  <c r="G22" i="24"/>
  <c r="J17" i="24"/>
  <c r="G33" i="24"/>
  <c r="P48" i="24"/>
  <c r="N48" i="24"/>
  <c r="G15" i="24"/>
  <c r="G31" i="24"/>
  <c r="G31" i="23"/>
  <c r="J31" i="23"/>
  <c r="G22" i="23"/>
  <c r="J37" i="23"/>
  <c r="G12" i="23"/>
  <c r="J11" i="23"/>
  <c r="J44" i="23"/>
  <c r="G30" i="23"/>
  <c r="J16" i="23"/>
  <c r="G39" i="23"/>
  <c r="J26" i="23"/>
  <c r="G47" i="23"/>
  <c r="G20" i="23"/>
  <c r="I23" i="22"/>
  <c r="L23" i="22"/>
  <c r="L20" i="22"/>
  <c r="I20" i="22"/>
  <c r="P28" i="22"/>
  <c r="L12" i="22"/>
  <c r="I11" i="22"/>
  <c r="L26" i="22"/>
  <c r="I26" i="22"/>
  <c r="I18" i="22"/>
  <c r="I27" i="22"/>
  <c r="I22" i="25"/>
  <c r="L22" i="25"/>
  <c r="L12" i="25"/>
  <c r="I12" i="25"/>
  <c r="I25" i="25"/>
  <c r="L25" i="25"/>
  <c r="L19" i="25"/>
  <c r="I19" i="25"/>
  <c r="L15" i="25"/>
  <c r="I15" i="25"/>
  <c r="W28" i="25"/>
  <c r="D10" i="25"/>
  <c r="D28" i="25" s="1"/>
  <c r="C10" i="25"/>
  <c r="R48" i="24"/>
  <c r="C10" i="24"/>
  <c r="P10" i="23"/>
  <c r="N48" i="23"/>
  <c r="I22" i="22"/>
  <c r="L22" i="22"/>
  <c r="T10" i="22"/>
  <c r="R28" i="22"/>
  <c r="L17" i="22"/>
  <c r="I17" i="22"/>
  <c r="L25" i="22"/>
  <c r="I25" i="22"/>
  <c r="L24" i="22"/>
  <c r="I24" i="22"/>
  <c r="Y42" i="21"/>
  <c r="X42" i="21"/>
  <c r="N42" i="21"/>
  <c r="M42" i="21"/>
  <c r="H42" i="21"/>
  <c r="P42" i="21" s="1"/>
  <c r="G42" i="21"/>
  <c r="O42" i="21" s="1"/>
  <c r="Y41" i="21"/>
  <c r="X41" i="21"/>
  <c r="N41" i="21"/>
  <c r="P41" i="21" s="1"/>
  <c r="M41" i="21"/>
  <c r="H41" i="21"/>
  <c r="G41" i="21"/>
  <c r="Y40" i="21"/>
  <c r="X40" i="21"/>
  <c r="P40" i="21"/>
  <c r="M45" i="12" s="1"/>
  <c r="N40" i="21"/>
  <c r="M40" i="21"/>
  <c r="H40" i="21"/>
  <c r="G40" i="21"/>
  <c r="Y39" i="21"/>
  <c r="X39" i="21"/>
  <c r="N39" i="21"/>
  <c r="M39" i="21"/>
  <c r="H39" i="21"/>
  <c r="G39" i="21"/>
  <c r="Y38" i="21"/>
  <c r="X38" i="21"/>
  <c r="N38" i="21"/>
  <c r="M38" i="21"/>
  <c r="H38" i="21"/>
  <c r="P38" i="21" s="1"/>
  <c r="O24" i="9" s="1"/>
  <c r="G38" i="21"/>
  <c r="Y37" i="21"/>
  <c r="X37" i="21"/>
  <c r="O37" i="21"/>
  <c r="N37" i="21"/>
  <c r="M37" i="21"/>
  <c r="H37" i="21"/>
  <c r="G37" i="21"/>
  <c r="Y36" i="21"/>
  <c r="X36" i="21"/>
  <c r="N36" i="21"/>
  <c r="M36" i="21"/>
  <c r="H36" i="21"/>
  <c r="G36" i="21"/>
  <c r="Y35" i="21"/>
  <c r="X35" i="21"/>
  <c r="N35" i="21"/>
  <c r="M35" i="21"/>
  <c r="H35" i="21"/>
  <c r="G35" i="21"/>
  <c r="Y34" i="21"/>
  <c r="X34" i="21"/>
  <c r="N34" i="21"/>
  <c r="M34" i="21"/>
  <c r="H34" i="21"/>
  <c r="G34" i="21"/>
  <c r="O34" i="21" s="1"/>
  <c r="Y33" i="21"/>
  <c r="X33" i="21"/>
  <c r="O33" i="21"/>
  <c r="L38" i="8" s="1"/>
  <c r="N33" i="21"/>
  <c r="M33" i="21"/>
  <c r="H33" i="21"/>
  <c r="G33" i="21"/>
  <c r="Y32" i="21"/>
  <c r="X32" i="21"/>
  <c r="O32" i="21"/>
  <c r="N32" i="21"/>
  <c r="P32" i="21" s="1"/>
  <c r="M32" i="21"/>
  <c r="H32" i="21"/>
  <c r="G32" i="21"/>
  <c r="Y31" i="21"/>
  <c r="X31" i="21"/>
  <c r="P31" i="21"/>
  <c r="N31" i="21"/>
  <c r="M31" i="21"/>
  <c r="H31" i="21"/>
  <c r="G31" i="21"/>
  <c r="Y30" i="21"/>
  <c r="X30" i="21"/>
  <c r="N30" i="21"/>
  <c r="M30" i="21"/>
  <c r="H30" i="21"/>
  <c r="G30" i="21"/>
  <c r="Y29" i="21"/>
  <c r="X29" i="21"/>
  <c r="N29" i="21"/>
  <c r="M29" i="21"/>
  <c r="H29" i="21"/>
  <c r="G29" i="21"/>
  <c r="Y28" i="21"/>
  <c r="X28" i="21"/>
  <c r="N28" i="21"/>
  <c r="M28" i="21"/>
  <c r="H28" i="21"/>
  <c r="G28" i="21"/>
  <c r="Y27" i="21"/>
  <c r="X27" i="21"/>
  <c r="N27" i="21"/>
  <c r="M27" i="21"/>
  <c r="H27" i="21"/>
  <c r="G27" i="21"/>
  <c r="Y26" i="21"/>
  <c r="X26" i="21"/>
  <c r="P26" i="21"/>
  <c r="M31" i="12" s="1"/>
  <c r="O26" i="21"/>
  <c r="N26" i="21"/>
  <c r="M26" i="21"/>
  <c r="H26" i="21"/>
  <c r="G26" i="21"/>
  <c r="Y25" i="21"/>
  <c r="X25" i="21"/>
  <c r="N25" i="21"/>
  <c r="M25" i="21"/>
  <c r="H25" i="21"/>
  <c r="G25" i="21"/>
  <c r="Y24" i="21"/>
  <c r="X24" i="21"/>
  <c r="O24" i="21"/>
  <c r="N24" i="21"/>
  <c r="M24" i="21"/>
  <c r="H24" i="21"/>
  <c r="G24" i="21"/>
  <c r="Y23" i="21"/>
  <c r="X23" i="21"/>
  <c r="N23" i="21"/>
  <c r="M23" i="21"/>
  <c r="H23" i="21"/>
  <c r="G23" i="21"/>
  <c r="Y22" i="21"/>
  <c r="X22" i="21"/>
  <c r="N22" i="21"/>
  <c r="M22" i="21"/>
  <c r="H22" i="21"/>
  <c r="G22" i="21"/>
  <c r="Y21" i="21"/>
  <c r="X21" i="21"/>
  <c r="N21" i="21"/>
  <c r="M21" i="21"/>
  <c r="H21" i="21"/>
  <c r="G21" i="21"/>
  <c r="Y20" i="21"/>
  <c r="X20" i="21"/>
  <c r="P20" i="21"/>
  <c r="N20" i="21"/>
  <c r="M20" i="21"/>
  <c r="H20" i="21"/>
  <c r="G20" i="21"/>
  <c r="Y19" i="21"/>
  <c r="X19" i="21"/>
  <c r="N19" i="21"/>
  <c r="M19" i="21"/>
  <c r="O19" i="21" s="1"/>
  <c r="H19" i="21"/>
  <c r="G19" i="21"/>
  <c r="Y18" i="21"/>
  <c r="X18" i="21"/>
  <c r="N18" i="21"/>
  <c r="M18" i="21"/>
  <c r="H18" i="21"/>
  <c r="G18" i="21"/>
  <c r="O18" i="21" s="1"/>
  <c r="Y17" i="21"/>
  <c r="X17" i="21"/>
  <c r="O17" i="21"/>
  <c r="N17" i="21"/>
  <c r="M17" i="21"/>
  <c r="H17" i="21"/>
  <c r="G17" i="21"/>
  <c r="Y16" i="21"/>
  <c r="X16" i="21"/>
  <c r="N16" i="21"/>
  <c r="M16" i="21"/>
  <c r="H16" i="21"/>
  <c r="P16" i="21" s="1"/>
  <c r="G16" i="21"/>
  <c r="Y15" i="21"/>
  <c r="X15" i="21"/>
  <c r="N15" i="21"/>
  <c r="M15" i="21"/>
  <c r="H15" i="21"/>
  <c r="G15" i="21"/>
  <c r="O15" i="21" s="1"/>
  <c r="Y14" i="21"/>
  <c r="X14" i="21"/>
  <c r="N14" i="21"/>
  <c r="P14" i="21" s="1"/>
  <c r="M14" i="21"/>
  <c r="H14" i="21"/>
  <c r="G14" i="21"/>
  <c r="Y13" i="21"/>
  <c r="X13" i="21"/>
  <c r="N13" i="21"/>
  <c r="P13" i="21" s="1"/>
  <c r="M13" i="21"/>
  <c r="H13" i="21"/>
  <c r="G13" i="21"/>
  <c r="Y12" i="21"/>
  <c r="X12" i="21"/>
  <c r="N12" i="21"/>
  <c r="M12" i="21"/>
  <c r="H12" i="21"/>
  <c r="G12" i="21"/>
  <c r="O12" i="21" s="1"/>
  <c r="Y11" i="21"/>
  <c r="X11" i="21"/>
  <c r="N11" i="21"/>
  <c r="M11" i="21"/>
  <c r="H11" i="21"/>
  <c r="G11" i="21"/>
  <c r="Y10" i="21"/>
  <c r="X10" i="21"/>
  <c r="N10" i="21"/>
  <c r="M10" i="21"/>
  <c r="H10" i="21"/>
  <c r="G10" i="21"/>
  <c r="Y9" i="21"/>
  <c r="X9" i="21"/>
  <c r="N9" i="21"/>
  <c r="M9" i="21"/>
  <c r="H9" i="21"/>
  <c r="G9" i="21"/>
  <c r="O9" i="21" s="1"/>
  <c r="Y8" i="21"/>
  <c r="X8" i="21"/>
  <c r="P8" i="21"/>
  <c r="N8" i="21"/>
  <c r="M8" i="21"/>
  <c r="H8" i="21"/>
  <c r="G8" i="21"/>
  <c r="Y7" i="21"/>
  <c r="X7" i="21"/>
  <c r="O7" i="21"/>
  <c r="N7" i="21"/>
  <c r="M7" i="21"/>
  <c r="H7" i="21"/>
  <c r="G7" i="21"/>
  <c r="Y6" i="21"/>
  <c r="X6" i="21"/>
  <c r="N6" i="21"/>
  <c r="M6" i="21"/>
  <c r="O6" i="21" s="1"/>
  <c r="J11" i="4" s="1"/>
  <c r="H6" i="21"/>
  <c r="G6" i="21"/>
  <c r="Y5" i="21"/>
  <c r="X5" i="21"/>
  <c r="N5" i="21"/>
  <c r="M5" i="21"/>
  <c r="H5" i="21"/>
  <c r="G5" i="21"/>
  <c r="O42" i="20"/>
  <c r="Q42" i="20" s="1"/>
  <c r="I42" i="20"/>
  <c r="K42" i="20" s="1"/>
  <c r="Q41" i="20"/>
  <c r="O41" i="20"/>
  <c r="I41" i="20"/>
  <c r="O46" i="11" s="1"/>
  <c r="Q40" i="20"/>
  <c r="O40" i="20"/>
  <c r="M26" i="10" s="1"/>
  <c r="I40" i="20"/>
  <c r="K40" i="20" s="1"/>
  <c r="O39" i="20"/>
  <c r="Q39" i="20" s="1"/>
  <c r="I39" i="20"/>
  <c r="Q38" i="20"/>
  <c r="O38" i="20"/>
  <c r="M24" i="10" s="1"/>
  <c r="K38" i="20"/>
  <c r="I38" i="20"/>
  <c r="Q37" i="20"/>
  <c r="O37" i="20"/>
  <c r="I37" i="20"/>
  <c r="K37" i="20" s="1"/>
  <c r="O36" i="20"/>
  <c r="Q36" i="20" s="1"/>
  <c r="I36" i="20"/>
  <c r="O35" i="20"/>
  <c r="Q35" i="20" s="1"/>
  <c r="I35" i="20"/>
  <c r="K35" i="20" s="1"/>
  <c r="Q34" i="20"/>
  <c r="O34" i="20"/>
  <c r="I34" i="20"/>
  <c r="K34" i="20" s="1"/>
  <c r="O33" i="20"/>
  <c r="K33" i="20"/>
  <c r="I33" i="20"/>
  <c r="O38" i="12" s="1"/>
  <c r="Q32" i="20"/>
  <c r="O32" i="20"/>
  <c r="I32" i="20"/>
  <c r="K32" i="20" s="1"/>
  <c r="O31" i="20"/>
  <c r="Q31" i="20" s="1"/>
  <c r="I31" i="20"/>
  <c r="Q30" i="20"/>
  <c r="O30" i="20"/>
  <c r="I30" i="20"/>
  <c r="Q29" i="20"/>
  <c r="O29" i="20"/>
  <c r="I29" i="20"/>
  <c r="K29" i="20" s="1"/>
  <c r="O28" i="20"/>
  <c r="Q28" i="20" s="1"/>
  <c r="I28" i="20"/>
  <c r="K28" i="20" s="1"/>
  <c r="Q27" i="20"/>
  <c r="O27" i="20"/>
  <c r="M20" i="9" s="1"/>
  <c r="I27" i="20"/>
  <c r="O32" i="12" s="1"/>
  <c r="O26" i="20"/>
  <c r="Q26" i="20" s="1"/>
  <c r="I26" i="20"/>
  <c r="Q25" i="20"/>
  <c r="O25" i="20"/>
  <c r="I25" i="20"/>
  <c r="O24" i="20"/>
  <c r="Q24" i="20" s="1"/>
  <c r="I24" i="20"/>
  <c r="K24" i="20" s="1"/>
  <c r="O23" i="20"/>
  <c r="Q23" i="20" s="1"/>
  <c r="I23" i="20"/>
  <c r="Q22" i="20"/>
  <c r="O22" i="20"/>
  <c r="I22" i="20"/>
  <c r="Q21" i="20"/>
  <c r="O21" i="20"/>
  <c r="I21" i="20"/>
  <c r="O26" i="12" s="1"/>
  <c r="O20" i="20"/>
  <c r="M13" i="6" s="1"/>
  <c r="I20" i="20"/>
  <c r="Q19" i="20"/>
  <c r="O19" i="20"/>
  <c r="I19" i="20"/>
  <c r="K19" i="20" s="1"/>
  <c r="O18" i="20"/>
  <c r="Q18" i="20" s="1"/>
  <c r="I18" i="20"/>
  <c r="Q17" i="20"/>
  <c r="O17" i="20"/>
  <c r="I17" i="20"/>
  <c r="Q16" i="20"/>
  <c r="O16" i="20"/>
  <c r="I16" i="20"/>
  <c r="K16" i="20" s="1"/>
  <c r="O15" i="20"/>
  <c r="Q15" i="20" s="1"/>
  <c r="K15" i="20"/>
  <c r="I15" i="20"/>
  <c r="O14" i="20"/>
  <c r="Q14" i="20" s="1"/>
  <c r="I14" i="20"/>
  <c r="K14" i="20" s="1"/>
  <c r="Q13" i="20"/>
  <c r="O13" i="20"/>
  <c r="I13" i="20"/>
  <c r="K13" i="20" s="1"/>
  <c r="Q12" i="20"/>
  <c r="O12" i="20"/>
  <c r="I12" i="20"/>
  <c r="K12" i="20" s="1"/>
  <c r="Q11" i="20"/>
  <c r="O11" i="20"/>
  <c r="I11" i="20"/>
  <c r="K11" i="20" s="1"/>
  <c r="O10" i="20"/>
  <c r="Q10" i="20" s="1"/>
  <c r="I10" i="20"/>
  <c r="O9" i="20"/>
  <c r="Q9" i="20" s="1"/>
  <c r="I9" i="20"/>
  <c r="O14" i="12" s="1"/>
  <c r="Q8" i="20"/>
  <c r="O8" i="20"/>
  <c r="K8" i="20"/>
  <c r="I8" i="20"/>
  <c r="O7" i="20"/>
  <c r="I7" i="20"/>
  <c r="O6" i="20"/>
  <c r="Q6" i="20" s="1"/>
  <c r="K6" i="20"/>
  <c r="I6" i="20"/>
  <c r="Q5" i="20"/>
  <c r="O5" i="20"/>
  <c r="I5" i="20"/>
  <c r="K5" i="20" s="1"/>
  <c r="J42" i="19"/>
  <c r="F42" i="19"/>
  <c r="I42" i="19" s="1"/>
  <c r="J41" i="19"/>
  <c r="F41" i="19"/>
  <c r="I41" i="19" s="1"/>
  <c r="K41" i="19" s="1"/>
  <c r="J40" i="19"/>
  <c r="I40" i="19"/>
  <c r="F40" i="19"/>
  <c r="J39" i="19"/>
  <c r="F39" i="19"/>
  <c r="I39" i="19" s="1"/>
  <c r="J38" i="19"/>
  <c r="F38" i="19"/>
  <c r="I38" i="19" s="1"/>
  <c r="K38" i="19" s="1"/>
  <c r="K37" i="19"/>
  <c r="J37" i="19"/>
  <c r="F37" i="19"/>
  <c r="I37" i="19" s="1"/>
  <c r="J36" i="19"/>
  <c r="F36" i="19"/>
  <c r="I36" i="19" s="1"/>
  <c r="K36" i="19" s="1"/>
  <c r="J35" i="19"/>
  <c r="F35" i="19"/>
  <c r="I35" i="19" s="1"/>
  <c r="J34" i="19"/>
  <c r="F34" i="19"/>
  <c r="I34" i="19" s="1"/>
  <c r="J33" i="19"/>
  <c r="F33" i="19"/>
  <c r="I33" i="19" s="1"/>
  <c r="K33" i="19" s="1"/>
  <c r="J32" i="19"/>
  <c r="F32" i="19"/>
  <c r="I32" i="19" s="1"/>
  <c r="J31" i="19"/>
  <c r="I31" i="19"/>
  <c r="F31" i="19"/>
  <c r="J30" i="19"/>
  <c r="F30" i="19"/>
  <c r="I30" i="19" s="1"/>
  <c r="K30" i="19" s="1"/>
  <c r="J29" i="19"/>
  <c r="F29" i="19"/>
  <c r="I29" i="19" s="1"/>
  <c r="K28" i="19"/>
  <c r="J28" i="19"/>
  <c r="F28" i="19"/>
  <c r="I28" i="19" s="1"/>
  <c r="J27" i="19"/>
  <c r="F27" i="19"/>
  <c r="I27" i="19" s="1"/>
  <c r="K27" i="19" s="1"/>
  <c r="J26" i="19"/>
  <c r="F26" i="19"/>
  <c r="I26" i="19" s="1"/>
  <c r="K26" i="19" s="1"/>
  <c r="J25" i="19"/>
  <c r="F25" i="19"/>
  <c r="I25" i="19" s="1"/>
  <c r="K25" i="19" s="1"/>
  <c r="K24" i="19"/>
  <c r="J24" i="19"/>
  <c r="F24" i="19"/>
  <c r="I24" i="19" s="1"/>
  <c r="J23" i="19"/>
  <c r="I23" i="19"/>
  <c r="F23" i="19"/>
  <c r="J22" i="19"/>
  <c r="I22" i="19"/>
  <c r="F22" i="19"/>
  <c r="J21" i="19"/>
  <c r="F21" i="19"/>
  <c r="I21" i="19" s="1"/>
  <c r="K21" i="19" s="1"/>
  <c r="J20" i="19"/>
  <c r="F20" i="19"/>
  <c r="I20" i="19" s="1"/>
  <c r="J19" i="19"/>
  <c r="F19" i="19"/>
  <c r="I19" i="19" s="1"/>
  <c r="K19" i="19" s="1"/>
  <c r="J18" i="19"/>
  <c r="F18" i="19"/>
  <c r="I18" i="19" s="1"/>
  <c r="J17" i="19"/>
  <c r="I17" i="19"/>
  <c r="K17" i="19" s="1"/>
  <c r="F17" i="19"/>
  <c r="J16" i="19"/>
  <c r="F16" i="19"/>
  <c r="I16" i="19" s="1"/>
  <c r="K16" i="19" s="1"/>
  <c r="K15" i="19"/>
  <c r="J15" i="19"/>
  <c r="F15" i="19"/>
  <c r="I15" i="19" s="1"/>
  <c r="J14" i="19"/>
  <c r="F14" i="19"/>
  <c r="I14" i="19" s="1"/>
  <c r="K14" i="19" s="1"/>
  <c r="J13" i="19"/>
  <c r="F13" i="19"/>
  <c r="I13" i="19" s="1"/>
  <c r="K13" i="19" s="1"/>
  <c r="K12" i="19"/>
  <c r="J12" i="19"/>
  <c r="F12" i="19"/>
  <c r="I12" i="19" s="1"/>
  <c r="J11" i="19"/>
  <c r="F11" i="19"/>
  <c r="I11" i="19" s="1"/>
  <c r="K11" i="19" s="1"/>
  <c r="J10" i="19"/>
  <c r="F10" i="19"/>
  <c r="I10" i="19" s="1"/>
  <c r="K10" i="19" s="1"/>
  <c r="J9" i="19"/>
  <c r="F9" i="19"/>
  <c r="I9" i="19" s="1"/>
  <c r="J8" i="19"/>
  <c r="F8" i="19"/>
  <c r="I8" i="19" s="1"/>
  <c r="K8" i="19" s="1"/>
  <c r="J7" i="19"/>
  <c r="F7" i="19"/>
  <c r="I7" i="19" s="1"/>
  <c r="K7" i="19" s="1"/>
  <c r="J6" i="19"/>
  <c r="F6" i="19"/>
  <c r="I6" i="19" s="1"/>
  <c r="J5" i="19"/>
  <c r="F5" i="19"/>
  <c r="I5" i="19" s="1"/>
  <c r="K5" i="19" s="1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K43" i="15"/>
  <c r="H43" i="15"/>
  <c r="E43" i="15"/>
  <c r="L43" i="15" s="1"/>
  <c r="K42" i="15"/>
  <c r="H42" i="15"/>
  <c r="E42" i="15"/>
  <c r="K41" i="15"/>
  <c r="H41" i="15"/>
  <c r="E41" i="15"/>
  <c r="K40" i="15"/>
  <c r="H40" i="15"/>
  <c r="E40" i="15"/>
  <c r="K39" i="15"/>
  <c r="H39" i="15"/>
  <c r="E39" i="15"/>
  <c r="K38" i="15"/>
  <c r="H38" i="15"/>
  <c r="E38" i="15"/>
  <c r="L38" i="15" s="1"/>
  <c r="L37" i="15"/>
  <c r="K37" i="15"/>
  <c r="H37" i="15"/>
  <c r="E37" i="15"/>
  <c r="K36" i="15"/>
  <c r="H36" i="15"/>
  <c r="E36" i="15"/>
  <c r="L36" i="15" s="1"/>
  <c r="K35" i="15"/>
  <c r="H35" i="15"/>
  <c r="E35" i="15"/>
  <c r="K34" i="15"/>
  <c r="L34" i="15" s="1"/>
  <c r="H34" i="15"/>
  <c r="E34" i="15"/>
  <c r="K33" i="15"/>
  <c r="H33" i="15"/>
  <c r="E33" i="15"/>
  <c r="L33" i="15" s="1"/>
  <c r="K32" i="15"/>
  <c r="H32" i="15"/>
  <c r="E32" i="15"/>
  <c r="K31" i="15"/>
  <c r="H31" i="15"/>
  <c r="E31" i="15"/>
  <c r="L31" i="15" s="1"/>
  <c r="K30" i="15"/>
  <c r="H30" i="15"/>
  <c r="E30" i="15"/>
  <c r="L30" i="15" s="1"/>
  <c r="K29" i="15"/>
  <c r="H29" i="15"/>
  <c r="E29" i="15"/>
  <c r="K28" i="15"/>
  <c r="H28" i="15"/>
  <c r="E28" i="15"/>
  <c r="L28" i="15" s="1"/>
  <c r="K27" i="15"/>
  <c r="H27" i="15"/>
  <c r="E27" i="15"/>
  <c r="K26" i="15"/>
  <c r="H26" i="15"/>
  <c r="E26" i="15"/>
  <c r="L26" i="15" s="1"/>
  <c r="K25" i="15"/>
  <c r="H25" i="15"/>
  <c r="E25" i="15"/>
  <c r="L25" i="15" s="1"/>
  <c r="K24" i="15"/>
  <c r="H24" i="15"/>
  <c r="E24" i="15"/>
  <c r="L24" i="15" s="1"/>
  <c r="K23" i="15"/>
  <c r="H23" i="15"/>
  <c r="E23" i="15"/>
  <c r="L23" i="15" s="1"/>
  <c r="L22" i="15"/>
  <c r="K22" i="15"/>
  <c r="H22" i="15"/>
  <c r="E22" i="15"/>
  <c r="K21" i="15"/>
  <c r="H21" i="15"/>
  <c r="E21" i="15"/>
  <c r="L21" i="15" s="1"/>
  <c r="K20" i="15"/>
  <c r="H20" i="15"/>
  <c r="E20" i="15"/>
  <c r="K19" i="15"/>
  <c r="H19" i="15"/>
  <c r="E19" i="15"/>
  <c r="K18" i="15"/>
  <c r="H18" i="15"/>
  <c r="E18" i="15"/>
  <c r="K17" i="15"/>
  <c r="H17" i="15"/>
  <c r="E17" i="15"/>
  <c r="L17" i="15" s="1"/>
  <c r="K16" i="15"/>
  <c r="H16" i="15"/>
  <c r="E16" i="15"/>
  <c r="L16" i="15" s="1"/>
  <c r="K15" i="15"/>
  <c r="H15" i="15"/>
  <c r="E15" i="15"/>
  <c r="L15" i="15" s="1"/>
  <c r="K14" i="15"/>
  <c r="H14" i="15"/>
  <c r="E14" i="15"/>
  <c r="L13" i="15"/>
  <c r="K13" i="15"/>
  <c r="H13" i="15"/>
  <c r="E13" i="15"/>
  <c r="K12" i="15"/>
  <c r="L12" i="15" s="1"/>
  <c r="H12" i="15"/>
  <c r="E12" i="15"/>
  <c r="K11" i="15"/>
  <c r="H11" i="15"/>
  <c r="E11" i="15"/>
  <c r="K10" i="15"/>
  <c r="H10" i="15"/>
  <c r="E10" i="15"/>
  <c r="K9" i="15"/>
  <c r="L9" i="15" s="1"/>
  <c r="H9" i="15"/>
  <c r="E9" i="15"/>
  <c r="K8" i="15"/>
  <c r="H8" i="15"/>
  <c r="E8" i="15"/>
  <c r="K7" i="15"/>
  <c r="H7" i="15"/>
  <c r="E7" i="15"/>
  <c r="K6" i="15"/>
  <c r="H6" i="15"/>
  <c r="E6" i="15"/>
  <c r="L6" i="15" s="1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K43" i="13"/>
  <c r="H43" i="13"/>
  <c r="E43" i="13"/>
  <c r="L43" i="13" s="1"/>
  <c r="K42" i="13"/>
  <c r="H42" i="13"/>
  <c r="E42" i="13"/>
  <c r="K41" i="13"/>
  <c r="H41" i="13"/>
  <c r="E41" i="13"/>
  <c r="K40" i="13"/>
  <c r="H40" i="13"/>
  <c r="E40" i="13"/>
  <c r="K39" i="13"/>
  <c r="H39" i="13"/>
  <c r="E39" i="13"/>
  <c r="K38" i="13"/>
  <c r="H38" i="13"/>
  <c r="E38" i="13"/>
  <c r="L38" i="13" s="1"/>
  <c r="K37" i="13"/>
  <c r="H37" i="13"/>
  <c r="E37" i="13"/>
  <c r="K36" i="13"/>
  <c r="H36" i="13"/>
  <c r="E36" i="13"/>
  <c r="K35" i="13"/>
  <c r="H35" i="13"/>
  <c r="E35" i="13"/>
  <c r="L34" i="13"/>
  <c r="K34" i="13"/>
  <c r="H34" i="13"/>
  <c r="E34" i="13"/>
  <c r="K33" i="13"/>
  <c r="H33" i="13"/>
  <c r="E33" i="13"/>
  <c r="K32" i="13"/>
  <c r="H32" i="13"/>
  <c r="E32" i="13"/>
  <c r="K31" i="13"/>
  <c r="H31" i="13"/>
  <c r="E31" i="13"/>
  <c r="K30" i="13"/>
  <c r="H30" i="13"/>
  <c r="E30" i="13"/>
  <c r="K29" i="13"/>
  <c r="H29" i="13"/>
  <c r="E29" i="13"/>
  <c r="K28" i="13"/>
  <c r="H28" i="13"/>
  <c r="E28" i="13"/>
  <c r="K27" i="13"/>
  <c r="H27" i="13"/>
  <c r="E27" i="13"/>
  <c r="K26" i="13"/>
  <c r="H26" i="13"/>
  <c r="E26" i="13"/>
  <c r="L26" i="13" s="1"/>
  <c r="K25" i="13"/>
  <c r="H25" i="13"/>
  <c r="E25" i="13"/>
  <c r="L25" i="13" s="1"/>
  <c r="K24" i="13"/>
  <c r="H24" i="13"/>
  <c r="E24" i="13"/>
  <c r="L24" i="13" s="1"/>
  <c r="K23" i="13"/>
  <c r="H23" i="13"/>
  <c r="E23" i="13"/>
  <c r="K22" i="13"/>
  <c r="H22" i="13"/>
  <c r="E22" i="13"/>
  <c r="K21" i="13"/>
  <c r="H21" i="13"/>
  <c r="E21" i="13"/>
  <c r="K20" i="13"/>
  <c r="H20" i="13"/>
  <c r="E20" i="13"/>
  <c r="L20" i="13" s="1"/>
  <c r="K19" i="13"/>
  <c r="H19" i="13"/>
  <c r="E19" i="13"/>
  <c r="K18" i="13"/>
  <c r="H18" i="13"/>
  <c r="E18" i="13"/>
  <c r="K17" i="13"/>
  <c r="H17" i="13"/>
  <c r="E17" i="13"/>
  <c r="K16" i="13"/>
  <c r="H16" i="13"/>
  <c r="E16" i="13"/>
  <c r="K15" i="13"/>
  <c r="H15" i="13"/>
  <c r="E15" i="13"/>
  <c r="L15" i="13" s="1"/>
  <c r="K14" i="13"/>
  <c r="H14" i="13"/>
  <c r="E14" i="13"/>
  <c r="K13" i="13"/>
  <c r="H13" i="13"/>
  <c r="E13" i="13"/>
  <c r="L13" i="13" s="1"/>
  <c r="K12" i="13"/>
  <c r="H12" i="13"/>
  <c r="E12" i="13"/>
  <c r="K11" i="13"/>
  <c r="H11" i="13"/>
  <c r="E11" i="13"/>
  <c r="K10" i="13"/>
  <c r="H10" i="13"/>
  <c r="E10" i="13"/>
  <c r="K9" i="13"/>
  <c r="H9" i="13"/>
  <c r="E9" i="13"/>
  <c r="K8" i="13"/>
  <c r="L8" i="13" s="1"/>
  <c r="H8" i="13"/>
  <c r="E8" i="13"/>
  <c r="K7" i="13"/>
  <c r="L7" i="13" s="1"/>
  <c r="H7" i="13"/>
  <c r="E7" i="13"/>
  <c r="K6" i="13"/>
  <c r="H6" i="13"/>
  <c r="E6" i="13"/>
  <c r="O47" i="12"/>
  <c r="M47" i="12"/>
  <c r="L47" i="12"/>
  <c r="M46" i="12"/>
  <c r="O45" i="12"/>
  <c r="O43" i="12"/>
  <c r="O42" i="12"/>
  <c r="O39" i="12"/>
  <c r="L38" i="12"/>
  <c r="O37" i="12"/>
  <c r="L37" i="12"/>
  <c r="O34" i="12"/>
  <c r="O33" i="12"/>
  <c r="O29" i="12"/>
  <c r="O24" i="12"/>
  <c r="L20" i="12"/>
  <c r="O19" i="12"/>
  <c r="O18" i="12"/>
  <c r="O16" i="12"/>
  <c r="O15" i="12"/>
  <c r="O13" i="12"/>
  <c r="O11" i="12"/>
  <c r="O10" i="12"/>
  <c r="O47" i="11"/>
  <c r="M47" i="11"/>
  <c r="L47" i="11"/>
  <c r="M46" i="11"/>
  <c r="O45" i="11"/>
  <c r="O43" i="11"/>
  <c r="O42" i="11"/>
  <c r="O41" i="11"/>
  <c r="O39" i="11"/>
  <c r="O38" i="11"/>
  <c r="O37" i="11"/>
  <c r="L37" i="11"/>
  <c r="O34" i="11"/>
  <c r="O32" i="11"/>
  <c r="M31" i="11"/>
  <c r="L31" i="11"/>
  <c r="O29" i="11"/>
  <c r="O26" i="11"/>
  <c r="M25" i="11"/>
  <c r="O24" i="11"/>
  <c r="O23" i="11"/>
  <c r="O21" i="11"/>
  <c r="L20" i="11"/>
  <c r="O19" i="11"/>
  <c r="O18" i="11"/>
  <c r="O17" i="11"/>
  <c r="O16" i="11"/>
  <c r="O14" i="11"/>
  <c r="O13" i="11"/>
  <c r="L12" i="11"/>
  <c r="O11" i="11"/>
  <c r="O10" i="11"/>
  <c r="U27" i="10"/>
  <c r="W27" i="10" s="1"/>
  <c r="D27" i="10" s="1"/>
  <c r="Q27" i="10"/>
  <c r="O27" i="10"/>
  <c r="M27" i="10"/>
  <c r="U26" i="10"/>
  <c r="W26" i="10" s="1"/>
  <c r="D26" i="10" s="1"/>
  <c r="Q26" i="10"/>
  <c r="O26" i="10"/>
  <c r="U25" i="10"/>
  <c r="W25" i="10" s="1"/>
  <c r="D25" i="10" s="1"/>
  <c r="M25" i="10"/>
  <c r="U24" i="10"/>
  <c r="W24" i="10" s="1"/>
  <c r="D24" i="10" s="1"/>
  <c r="Q24" i="10"/>
  <c r="U23" i="10"/>
  <c r="W23" i="10" s="1"/>
  <c r="D23" i="10" s="1"/>
  <c r="Q23" i="10"/>
  <c r="M23" i="10"/>
  <c r="U22" i="10"/>
  <c r="W22" i="10" s="1"/>
  <c r="D22" i="10" s="1"/>
  <c r="Q22" i="10"/>
  <c r="M22" i="10"/>
  <c r="W21" i="10"/>
  <c r="D21" i="10" s="1"/>
  <c r="U21" i="10"/>
  <c r="Q21" i="10"/>
  <c r="N21" i="10"/>
  <c r="U20" i="10"/>
  <c r="W20" i="10" s="1"/>
  <c r="D20" i="10" s="1"/>
  <c r="Q20" i="10"/>
  <c r="M20" i="10"/>
  <c r="U19" i="10"/>
  <c r="W19" i="10" s="1"/>
  <c r="D19" i="10" s="1"/>
  <c r="M19" i="10"/>
  <c r="U18" i="10"/>
  <c r="W18" i="10" s="1"/>
  <c r="D18" i="10" s="1"/>
  <c r="M18" i="10"/>
  <c r="U17" i="10"/>
  <c r="W17" i="10" s="1"/>
  <c r="D17" i="10" s="1"/>
  <c r="Q17" i="10"/>
  <c r="M17" i="10"/>
  <c r="U16" i="10"/>
  <c r="W16" i="10" s="1"/>
  <c r="D16" i="10" s="1"/>
  <c r="Q16" i="10"/>
  <c r="M16" i="10"/>
  <c r="U15" i="10"/>
  <c r="W15" i="10" s="1"/>
  <c r="D15" i="10" s="1"/>
  <c r="M15" i="10"/>
  <c r="U14" i="10"/>
  <c r="W14" i="10" s="1"/>
  <c r="D14" i="10" s="1"/>
  <c r="Q14" i="10"/>
  <c r="M14" i="10"/>
  <c r="U13" i="10"/>
  <c r="W13" i="10" s="1"/>
  <c r="D13" i="10" s="1"/>
  <c r="U12" i="10"/>
  <c r="W12" i="10" s="1"/>
  <c r="D12" i="10" s="1"/>
  <c r="Q12" i="10"/>
  <c r="M12" i="10"/>
  <c r="U11" i="10"/>
  <c r="W11" i="10" s="1"/>
  <c r="D11" i="10" s="1"/>
  <c r="Q11" i="10"/>
  <c r="U10" i="10"/>
  <c r="Q10" i="10"/>
  <c r="M10" i="10"/>
  <c r="U27" i="9"/>
  <c r="W27" i="9" s="1"/>
  <c r="D27" i="9" s="1"/>
  <c r="Q27" i="9"/>
  <c r="O27" i="9"/>
  <c r="M27" i="9"/>
  <c r="U26" i="9"/>
  <c r="W26" i="9" s="1"/>
  <c r="D26" i="9" s="1"/>
  <c r="Q26" i="9"/>
  <c r="O26" i="9"/>
  <c r="M26" i="9"/>
  <c r="U25" i="9"/>
  <c r="W25" i="9" s="1"/>
  <c r="D25" i="9" s="1"/>
  <c r="Q25" i="9"/>
  <c r="M25" i="9"/>
  <c r="U24" i="9"/>
  <c r="W24" i="9" s="1"/>
  <c r="D24" i="9" s="1"/>
  <c r="Q24" i="9"/>
  <c r="M24" i="9"/>
  <c r="U23" i="9"/>
  <c r="W23" i="9" s="1"/>
  <c r="D23" i="9" s="1"/>
  <c r="Q23" i="9"/>
  <c r="M23" i="9"/>
  <c r="U22" i="9"/>
  <c r="W22" i="9" s="1"/>
  <c r="D22" i="9" s="1"/>
  <c r="Q22" i="9"/>
  <c r="M22" i="9"/>
  <c r="U21" i="9"/>
  <c r="W21" i="9" s="1"/>
  <c r="D21" i="9" s="1"/>
  <c r="Q21" i="9"/>
  <c r="N21" i="9"/>
  <c r="M21" i="9"/>
  <c r="U20" i="9"/>
  <c r="W20" i="9" s="1"/>
  <c r="D20" i="9" s="1"/>
  <c r="Q20" i="9"/>
  <c r="U19" i="9"/>
  <c r="W19" i="9" s="1"/>
  <c r="D19" i="9" s="1"/>
  <c r="O19" i="9"/>
  <c r="N19" i="9"/>
  <c r="P19" i="9" s="1"/>
  <c r="M19" i="9"/>
  <c r="U18" i="9"/>
  <c r="W18" i="9" s="1"/>
  <c r="D18" i="9" s="1"/>
  <c r="M18" i="9"/>
  <c r="U17" i="9"/>
  <c r="W17" i="9" s="1"/>
  <c r="D17" i="9" s="1"/>
  <c r="Q17" i="9"/>
  <c r="U16" i="9"/>
  <c r="W16" i="9" s="1"/>
  <c r="D16" i="9" s="1"/>
  <c r="M16" i="9"/>
  <c r="U15" i="9"/>
  <c r="W15" i="9" s="1"/>
  <c r="D15" i="9" s="1"/>
  <c r="Q15" i="9"/>
  <c r="M15" i="9"/>
  <c r="U14" i="9"/>
  <c r="W14" i="9" s="1"/>
  <c r="D14" i="9" s="1"/>
  <c r="Q14" i="9"/>
  <c r="M14" i="9"/>
  <c r="U13" i="9"/>
  <c r="W13" i="9" s="1"/>
  <c r="D13" i="9" s="1"/>
  <c r="Q13" i="9"/>
  <c r="U12" i="9"/>
  <c r="W12" i="9" s="1"/>
  <c r="D12" i="9" s="1"/>
  <c r="Q12" i="9"/>
  <c r="M12" i="9"/>
  <c r="U11" i="9"/>
  <c r="W11" i="9" s="1"/>
  <c r="D11" i="9" s="1"/>
  <c r="Q11" i="9"/>
  <c r="U10" i="9"/>
  <c r="Q10" i="9"/>
  <c r="M10" i="9"/>
  <c r="O47" i="8"/>
  <c r="M47" i="8"/>
  <c r="L47" i="8"/>
  <c r="N47" i="8" s="1"/>
  <c r="O46" i="8"/>
  <c r="M46" i="8"/>
  <c r="O45" i="8"/>
  <c r="M45" i="8"/>
  <c r="O44" i="8"/>
  <c r="O43" i="8"/>
  <c r="O42" i="8"/>
  <c r="L42" i="8"/>
  <c r="O41" i="8"/>
  <c r="O40" i="8"/>
  <c r="O39" i="8"/>
  <c r="O38" i="8"/>
  <c r="O37" i="8"/>
  <c r="L37" i="8"/>
  <c r="M36" i="8"/>
  <c r="O35" i="8"/>
  <c r="O34" i="8"/>
  <c r="O32" i="8"/>
  <c r="O31" i="8"/>
  <c r="M31" i="8"/>
  <c r="L31" i="8"/>
  <c r="O30" i="8"/>
  <c r="O29" i="8"/>
  <c r="O28" i="8"/>
  <c r="O27" i="8"/>
  <c r="O26" i="8"/>
  <c r="M25" i="8"/>
  <c r="O24" i="8"/>
  <c r="L24" i="8"/>
  <c r="O21" i="8"/>
  <c r="M21" i="8"/>
  <c r="O20" i="8"/>
  <c r="L20" i="8"/>
  <c r="O18" i="8"/>
  <c r="M18" i="8"/>
  <c r="O17" i="8"/>
  <c r="L17" i="8"/>
  <c r="O16" i="8"/>
  <c r="O15" i="8"/>
  <c r="O14" i="8"/>
  <c r="O13" i="8"/>
  <c r="M13" i="8"/>
  <c r="O12" i="8"/>
  <c r="O11" i="8"/>
  <c r="O10" i="8"/>
  <c r="D10" i="8"/>
  <c r="O47" i="7"/>
  <c r="M47" i="7"/>
  <c r="L47" i="7"/>
  <c r="O46" i="7"/>
  <c r="M46" i="7"/>
  <c r="O45" i="7"/>
  <c r="M45" i="7"/>
  <c r="O43" i="7"/>
  <c r="M43" i="7"/>
  <c r="O42" i="7"/>
  <c r="L42" i="7"/>
  <c r="O41" i="7"/>
  <c r="O40" i="7"/>
  <c r="O39" i="7"/>
  <c r="O38" i="7"/>
  <c r="L38" i="7"/>
  <c r="O37" i="7"/>
  <c r="L37" i="7"/>
  <c r="O35" i="7"/>
  <c r="O34" i="7"/>
  <c r="O33" i="7"/>
  <c r="O32" i="7"/>
  <c r="M31" i="7"/>
  <c r="L31" i="7"/>
  <c r="O30" i="7"/>
  <c r="O29" i="7"/>
  <c r="O28" i="7"/>
  <c r="O26" i="7"/>
  <c r="M25" i="7"/>
  <c r="O24" i="7"/>
  <c r="O23" i="7"/>
  <c r="O21" i="7"/>
  <c r="M21" i="7"/>
  <c r="O20" i="7"/>
  <c r="L20" i="7"/>
  <c r="O19" i="7"/>
  <c r="O18" i="7"/>
  <c r="O17" i="7"/>
  <c r="L17" i="7"/>
  <c r="O16" i="7"/>
  <c r="O15" i="7"/>
  <c r="O14" i="7"/>
  <c r="O13" i="7"/>
  <c r="M13" i="7"/>
  <c r="O11" i="7"/>
  <c r="L11" i="7"/>
  <c r="O10" i="7"/>
  <c r="D10" i="7"/>
  <c r="U27" i="6"/>
  <c r="W27" i="6" s="1"/>
  <c r="D27" i="6" s="1"/>
  <c r="Q27" i="6"/>
  <c r="O27" i="6"/>
  <c r="M27" i="6"/>
  <c r="U26" i="6"/>
  <c r="W26" i="6" s="1"/>
  <c r="D26" i="6" s="1"/>
  <c r="Q26" i="6"/>
  <c r="O26" i="6"/>
  <c r="M26" i="6"/>
  <c r="U25" i="6"/>
  <c r="W25" i="6" s="1"/>
  <c r="D25" i="6" s="1"/>
  <c r="M25" i="6"/>
  <c r="U24" i="6"/>
  <c r="W24" i="6" s="1"/>
  <c r="D24" i="6" s="1"/>
  <c r="Q24" i="6"/>
  <c r="M24" i="6"/>
  <c r="U23" i="6"/>
  <c r="W23" i="6" s="1"/>
  <c r="D23" i="6" s="1"/>
  <c r="Q23" i="6"/>
  <c r="M23" i="6"/>
  <c r="U22" i="6"/>
  <c r="W22" i="6" s="1"/>
  <c r="D22" i="6" s="1"/>
  <c r="Q22" i="6"/>
  <c r="M22" i="6"/>
  <c r="U21" i="6"/>
  <c r="W21" i="6" s="1"/>
  <c r="D21" i="6" s="1"/>
  <c r="Q21" i="6"/>
  <c r="N21" i="6"/>
  <c r="M21" i="6"/>
  <c r="U20" i="6"/>
  <c r="W20" i="6" s="1"/>
  <c r="D20" i="6" s="1"/>
  <c r="Q20" i="6"/>
  <c r="M20" i="6"/>
  <c r="U19" i="6"/>
  <c r="W19" i="6" s="1"/>
  <c r="D19" i="6" s="1"/>
  <c r="O19" i="6"/>
  <c r="M19" i="6"/>
  <c r="U18" i="6"/>
  <c r="W18" i="6" s="1"/>
  <c r="D18" i="6" s="1"/>
  <c r="Q18" i="6"/>
  <c r="M18" i="6"/>
  <c r="U17" i="6"/>
  <c r="W17" i="6" s="1"/>
  <c r="D17" i="6" s="1"/>
  <c r="Q17" i="6"/>
  <c r="M17" i="6"/>
  <c r="U16" i="6"/>
  <c r="W16" i="6" s="1"/>
  <c r="D16" i="6" s="1"/>
  <c r="M16" i="6"/>
  <c r="U15" i="6"/>
  <c r="W15" i="6" s="1"/>
  <c r="D15" i="6" s="1"/>
  <c r="M15" i="6"/>
  <c r="U14" i="6"/>
  <c r="W14" i="6" s="1"/>
  <c r="D14" i="6" s="1"/>
  <c r="Q14" i="6"/>
  <c r="M14" i="6"/>
  <c r="U13" i="6"/>
  <c r="W13" i="6" s="1"/>
  <c r="D13" i="6" s="1"/>
  <c r="Q13" i="6"/>
  <c r="O13" i="6"/>
  <c r="U12" i="6"/>
  <c r="W12" i="6" s="1"/>
  <c r="D12" i="6" s="1"/>
  <c r="Q12" i="6"/>
  <c r="M12" i="6"/>
  <c r="U11" i="6"/>
  <c r="W11" i="6" s="1"/>
  <c r="D11" i="6" s="1"/>
  <c r="Q11" i="6"/>
  <c r="U10" i="6"/>
  <c r="Q10" i="6"/>
  <c r="M10" i="6"/>
  <c r="U27" i="5"/>
  <c r="W27" i="5" s="1"/>
  <c r="D27" i="5" s="1"/>
  <c r="Q27" i="5"/>
  <c r="O27" i="5"/>
  <c r="M27" i="5"/>
  <c r="U26" i="5"/>
  <c r="W26" i="5" s="1"/>
  <c r="D26" i="5" s="1"/>
  <c r="Q26" i="5"/>
  <c r="O26" i="5"/>
  <c r="M26" i="5"/>
  <c r="U25" i="5"/>
  <c r="W25" i="5" s="1"/>
  <c r="D25" i="5" s="1"/>
  <c r="Q25" i="5"/>
  <c r="M25" i="5"/>
  <c r="U24" i="5"/>
  <c r="W24" i="5" s="1"/>
  <c r="D24" i="5" s="1"/>
  <c r="Q24" i="5"/>
  <c r="M24" i="5"/>
  <c r="W23" i="5"/>
  <c r="D23" i="5" s="1"/>
  <c r="U23" i="5"/>
  <c r="Q23" i="5"/>
  <c r="M23" i="5"/>
  <c r="U22" i="5"/>
  <c r="W22" i="5" s="1"/>
  <c r="D22" i="5" s="1"/>
  <c r="Q22" i="5"/>
  <c r="M22" i="5"/>
  <c r="U21" i="5"/>
  <c r="W21" i="5" s="1"/>
  <c r="D21" i="5" s="1"/>
  <c r="Q21" i="5"/>
  <c r="N21" i="5"/>
  <c r="M21" i="5"/>
  <c r="U20" i="5"/>
  <c r="W20" i="5" s="1"/>
  <c r="D20" i="5" s="1"/>
  <c r="Q20" i="5"/>
  <c r="M20" i="5"/>
  <c r="U19" i="5"/>
  <c r="W19" i="5" s="1"/>
  <c r="D19" i="5" s="1"/>
  <c r="O19" i="5"/>
  <c r="N19" i="5"/>
  <c r="P19" i="5" s="1"/>
  <c r="M19" i="5"/>
  <c r="U18" i="5"/>
  <c r="W18" i="5" s="1"/>
  <c r="D18" i="5" s="1"/>
  <c r="M18" i="5"/>
  <c r="U17" i="5"/>
  <c r="W17" i="5" s="1"/>
  <c r="D17" i="5" s="1"/>
  <c r="Q17" i="5"/>
  <c r="U16" i="5"/>
  <c r="W16" i="5" s="1"/>
  <c r="D16" i="5" s="1"/>
  <c r="M16" i="5"/>
  <c r="W15" i="5"/>
  <c r="D15" i="5" s="1"/>
  <c r="U15" i="5"/>
  <c r="Q15" i="5"/>
  <c r="M15" i="5"/>
  <c r="U14" i="5"/>
  <c r="W14" i="5" s="1"/>
  <c r="D14" i="5" s="1"/>
  <c r="Q14" i="5"/>
  <c r="M14" i="5"/>
  <c r="U13" i="5"/>
  <c r="W13" i="5" s="1"/>
  <c r="D13" i="5" s="1"/>
  <c r="O13" i="5"/>
  <c r="U12" i="5"/>
  <c r="W12" i="5" s="1"/>
  <c r="D12" i="5" s="1"/>
  <c r="Q12" i="5"/>
  <c r="M12" i="5"/>
  <c r="U11" i="5"/>
  <c r="W11" i="5" s="1"/>
  <c r="D11" i="5" s="1"/>
  <c r="U10" i="5"/>
  <c r="Q10" i="5"/>
  <c r="M10" i="5"/>
  <c r="M47" i="4"/>
  <c r="K47" i="4"/>
  <c r="J47" i="4"/>
  <c r="M46" i="4"/>
  <c r="K46" i="4"/>
  <c r="M45" i="4"/>
  <c r="K45" i="4"/>
  <c r="M44" i="4"/>
  <c r="M43" i="4"/>
  <c r="M42" i="4"/>
  <c r="J42" i="4"/>
  <c r="M41" i="4"/>
  <c r="M40" i="4"/>
  <c r="M39" i="4"/>
  <c r="M38" i="4"/>
  <c r="J38" i="4"/>
  <c r="M37" i="4"/>
  <c r="J37" i="4"/>
  <c r="M35" i="4"/>
  <c r="M34" i="4"/>
  <c r="M33" i="4"/>
  <c r="M32" i="4"/>
  <c r="K31" i="4"/>
  <c r="J31" i="4"/>
  <c r="M30" i="4"/>
  <c r="M29" i="4"/>
  <c r="M26" i="4"/>
  <c r="M25" i="4"/>
  <c r="M24" i="4"/>
  <c r="M23" i="4"/>
  <c r="M21" i="4"/>
  <c r="K21" i="4"/>
  <c r="J20" i="4"/>
  <c r="M19" i="4"/>
  <c r="M18" i="4"/>
  <c r="K18" i="4"/>
  <c r="M17" i="4"/>
  <c r="J17" i="4"/>
  <c r="M16" i="4"/>
  <c r="M15" i="4"/>
  <c r="M14" i="4"/>
  <c r="M13" i="4"/>
  <c r="K13" i="4"/>
  <c r="M12" i="4"/>
  <c r="J12" i="4"/>
  <c r="M11" i="4"/>
  <c r="M10" i="4"/>
  <c r="S27" i="3"/>
  <c r="U27" i="3" s="1"/>
  <c r="D27" i="3" s="1"/>
  <c r="O27" i="3"/>
  <c r="M27" i="3"/>
  <c r="K27" i="3"/>
  <c r="U26" i="3"/>
  <c r="D26" i="3" s="1"/>
  <c r="S26" i="3"/>
  <c r="O26" i="3"/>
  <c r="M26" i="3"/>
  <c r="K26" i="3"/>
  <c r="S25" i="3"/>
  <c r="U25" i="3" s="1"/>
  <c r="O25" i="3"/>
  <c r="K25" i="3"/>
  <c r="D25" i="3"/>
  <c r="S24" i="3"/>
  <c r="U24" i="3" s="1"/>
  <c r="D24" i="3" s="1"/>
  <c r="O24" i="3"/>
  <c r="K24" i="3"/>
  <c r="S23" i="3"/>
  <c r="U23" i="3" s="1"/>
  <c r="D23" i="3" s="1"/>
  <c r="O23" i="3"/>
  <c r="K23" i="3"/>
  <c r="U22" i="3"/>
  <c r="D22" i="3" s="1"/>
  <c r="S22" i="3"/>
  <c r="O22" i="3"/>
  <c r="K22" i="3"/>
  <c r="S21" i="3"/>
  <c r="U21" i="3" s="1"/>
  <c r="D21" i="3" s="1"/>
  <c r="O21" i="3"/>
  <c r="L21" i="3"/>
  <c r="K21" i="3"/>
  <c r="S20" i="3"/>
  <c r="U20" i="3" s="1"/>
  <c r="D20" i="3" s="1"/>
  <c r="O20" i="3"/>
  <c r="K20" i="3"/>
  <c r="S19" i="3"/>
  <c r="U19" i="3" s="1"/>
  <c r="D19" i="3" s="1"/>
  <c r="M19" i="3"/>
  <c r="L19" i="3"/>
  <c r="K19" i="3"/>
  <c r="S18" i="3"/>
  <c r="U18" i="3" s="1"/>
  <c r="D18" i="3" s="1"/>
  <c r="O18" i="3"/>
  <c r="K18" i="3"/>
  <c r="S17" i="3"/>
  <c r="U17" i="3" s="1"/>
  <c r="D17" i="3" s="1"/>
  <c r="O17" i="3"/>
  <c r="K17" i="3"/>
  <c r="S16" i="3"/>
  <c r="U16" i="3" s="1"/>
  <c r="D16" i="3" s="1"/>
  <c r="O16" i="3"/>
  <c r="K16" i="3"/>
  <c r="S15" i="3"/>
  <c r="U15" i="3" s="1"/>
  <c r="D15" i="3" s="1"/>
  <c r="K15" i="3"/>
  <c r="U14" i="3"/>
  <c r="D14" i="3" s="1"/>
  <c r="S14" i="3"/>
  <c r="O14" i="3"/>
  <c r="K14" i="3"/>
  <c r="S13" i="3"/>
  <c r="U13" i="3" s="1"/>
  <c r="D13" i="3" s="1"/>
  <c r="M13" i="3"/>
  <c r="K13" i="3"/>
  <c r="S12" i="3"/>
  <c r="U12" i="3" s="1"/>
  <c r="D12" i="3" s="1"/>
  <c r="O12" i="3"/>
  <c r="K12" i="3"/>
  <c r="S11" i="3"/>
  <c r="U11" i="3" s="1"/>
  <c r="D11" i="3" s="1"/>
  <c r="O11" i="3"/>
  <c r="S10" i="3"/>
  <c r="U10" i="3" s="1"/>
  <c r="D10" i="3" s="1"/>
  <c r="O10" i="3"/>
  <c r="K10" i="3"/>
  <c r="P22" i="4" l="1"/>
  <c r="N48" i="4"/>
  <c r="W10" i="10"/>
  <c r="U28" i="10"/>
  <c r="W10" i="9"/>
  <c r="U28" i="9"/>
  <c r="G10" i="7"/>
  <c r="N31" i="7"/>
  <c r="W10" i="6"/>
  <c r="U28" i="6"/>
  <c r="W10" i="5"/>
  <c r="U28" i="5"/>
  <c r="J10" i="8"/>
  <c r="C28" i="25"/>
  <c r="E10" i="25"/>
  <c r="D10" i="24"/>
  <c r="C48" i="24"/>
  <c r="R10" i="23"/>
  <c r="P48" i="23"/>
  <c r="T28" i="22"/>
  <c r="C10" i="22"/>
  <c r="N31" i="11"/>
  <c r="N31" i="8"/>
  <c r="P31" i="8" s="1"/>
  <c r="R31" i="8" s="1"/>
  <c r="C31" i="8" s="1"/>
  <c r="D31" i="8" s="1"/>
  <c r="J31" i="8" s="1"/>
  <c r="L31" i="4"/>
  <c r="K22" i="20"/>
  <c r="Q15" i="10"/>
  <c r="Q15" i="6"/>
  <c r="O27" i="11"/>
  <c r="M27" i="4"/>
  <c r="O15" i="3"/>
  <c r="K31" i="20"/>
  <c r="O36" i="12"/>
  <c r="O36" i="11"/>
  <c r="M36" i="4"/>
  <c r="N11" i="10"/>
  <c r="L12" i="8"/>
  <c r="N11" i="6"/>
  <c r="N11" i="9"/>
  <c r="L12" i="7"/>
  <c r="O10" i="21"/>
  <c r="P29" i="21"/>
  <c r="M34" i="11" s="1"/>
  <c r="M34" i="7"/>
  <c r="M34" i="12"/>
  <c r="N11" i="5"/>
  <c r="O24" i="5"/>
  <c r="K39" i="19"/>
  <c r="Q7" i="20"/>
  <c r="M11" i="5"/>
  <c r="M11" i="6"/>
  <c r="M28" i="6" s="1"/>
  <c r="M11" i="10"/>
  <c r="K11" i="3"/>
  <c r="M11" i="9"/>
  <c r="P10" i="21"/>
  <c r="L24" i="11"/>
  <c r="J24" i="4"/>
  <c r="L24" i="7"/>
  <c r="M25" i="12"/>
  <c r="K25" i="4"/>
  <c r="O13" i="10"/>
  <c r="O13" i="9"/>
  <c r="M16" i="3"/>
  <c r="K28" i="4"/>
  <c r="O28" i="21"/>
  <c r="L33" i="11"/>
  <c r="K26" i="20"/>
  <c r="M31" i="4"/>
  <c r="Q19" i="10"/>
  <c r="Q19" i="6"/>
  <c r="Q19" i="9"/>
  <c r="R19" i="9" s="1"/>
  <c r="T19" i="9" s="1"/>
  <c r="C19" i="9" s="1"/>
  <c r="E19" i="9" s="1"/>
  <c r="F19" i="9" s="1"/>
  <c r="O22" i="21"/>
  <c r="J27" i="4" s="1"/>
  <c r="N15" i="5"/>
  <c r="N15" i="9"/>
  <c r="L27" i="8"/>
  <c r="L27" i="7"/>
  <c r="L29" i="11"/>
  <c r="N17" i="5"/>
  <c r="J29" i="4"/>
  <c r="O36" i="7"/>
  <c r="L17" i="13"/>
  <c r="L22" i="13"/>
  <c r="L11" i="3"/>
  <c r="L17" i="3"/>
  <c r="N17" i="6"/>
  <c r="L29" i="8"/>
  <c r="M43" i="8"/>
  <c r="L35" i="13"/>
  <c r="L40" i="15"/>
  <c r="M43" i="12"/>
  <c r="O24" i="10"/>
  <c r="M43" i="11"/>
  <c r="M24" i="3"/>
  <c r="K43" i="4"/>
  <c r="L40" i="13"/>
  <c r="O25" i="11"/>
  <c r="O25" i="7"/>
  <c r="Q13" i="5"/>
  <c r="K20" i="20"/>
  <c r="O25" i="12"/>
  <c r="O25" i="8"/>
  <c r="M27" i="11"/>
  <c r="O13" i="3"/>
  <c r="L15" i="3"/>
  <c r="N15" i="6"/>
  <c r="Q13" i="10"/>
  <c r="L27" i="11"/>
  <c r="O27" i="12"/>
  <c r="L28" i="13"/>
  <c r="O19" i="3"/>
  <c r="Q19" i="5"/>
  <c r="R19" i="5" s="1"/>
  <c r="T19" i="5" s="1"/>
  <c r="C19" i="5" s="1"/>
  <c r="E19" i="5" s="1"/>
  <c r="F19" i="5" s="1"/>
  <c r="I19" i="5" s="1"/>
  <c r="O31" i="7"/>
  <c r="L11" i="8"/>
  <c r="O24" i="6"/>
  <c r="O27" i="7"/>
  <c r="O36" i="8"/>
  <c r="N17" i="9"/>
  <c r="O31" i="12"/>
  <c r="K23" i="20"/>
  <c r="O28" i="12"/>
  <c r="M28" i="4"/>
  <c r="Q16" i="9"/>
  <c r="Q28" i="9" s="1"/>
  <c r="L10" i="13"/>
  <c r="L23" i="13"/>
  <c r="L14" i="15"/>
  <c r="L19" i="15"/>
  <c r="K23" i="19"/>
  <c r="O20" i="12"/>
  <c r="O20" i="11"/>
  <c r="M20" i="4"/>
  <c r="Q20" i="20"/>
  <c r="O21" i="21"/>
  <c r="L26" i="11" s="1"/>
  <c r="P5" i="21"/>
  <c r="L13" i="12"/>
  <c r="L13" i="11"/>
  <c r="O8" i="21"/>
  <c r="P17" i="21"/>
  <c r="P22" i="21"/>
  <c r="Q16" i="5"/>
  <c r="L6" i="13"/>
  <c r="L11" i="13"/>
  <c r="L7" i="15"/>
  <c r="K18" i="20"/>
  <c r="O23" i="8"/>
  <c r="O23" i="12"/>
  <c r="K36" i="20"/>
  <c r="O41" i="12"/>
  <c r="M18" i="11"/>
  <c r="M18" i="7"/>
  <c r="M18" i="12"/>
  <c r="M27" i="7"/>
  <c r="P47" i="8"/>
  <c r="R47" i="8" s="1"/>
  <c r="C47" i="8" s="1"/>
  <c r="D47" i="8" s="1"/>
  <c r="G47" i="8" s="1"/>
  <c r="M13" i="9"/>
  <c r="M13" i="10"/>
  <c r="L10" i="15"/>
  <c r="L42" i="15"/>
  <c r="O44" i="12"/>
  <c r="O44" i="7"/>
  <c r="Q25" i="6"/>
  <c r="L29" i="12"/>
  <c r="O35" i="21"/>
  <c r="Q16" i="6"/>
  <c r="N19" i="3"/>
  <c r="L47" i="4"/>
  <c r="N47" i="4" s="1"/>
  <c r="P47" i="4" s="1"/>
  <c r="C47" i="4" s="1"/>
  <c r="D47" i="4" s="1"/>
  <c r="M13" i="5"/>
  <c r="J10" i="7"/>
  <c r="O28" i="11"/>
  <c r="M27" i="12"/>
  <c r="L32" i="13"/>
  <c r="L37" i="13"/>
  <c r="K35" i="19"/>
  <c r="K42" i="19"/>
  <c r="O12" i="11"/>
  <c r="O12" i="7"/>
  <c r="Q11" i="5"/>
  <c r="K10" i="20"/>
  <c r="O15" i="11"/>
  <c r="K25" i="20"/>
  <c r="Q18" i="9"/>
  <c r="Q18" i="5"/>
  <c r="O30" i="11"/>
  <c r="Q33" i="20"/>
  <c r="M21" i="10"/>
  <c r="M13" i="12"/>
  <c r="M13" i="11"/>
  <c r="M16" i="11"/>
  <c r="P15" i="21"/>
  <c r="M20" i="11" s="1"/>
  <c r="N20" i="11" s="1"/>
  <c r="P24" i="21"/>
  <c r="O17" i="10"/>
  <c r="P17" i="10" s="1"/>
  <c r="R17" i="10" s="1"/>
  <c r="T17" i="10" s="1"/>
  <c r="C17" i="10" s="1"/>
  <c r="E17" i="10" s="1"/>
  <c r="F17" i="10" s="1"/>
  <c r="L17" i="10" s="1"/>
  <c r="M29" i="11"/>
  <c r="M29" i="12"/>
  <c r="L31" i="12"/>
  <c r="N31" i="12" s="1"/>
  <c r="N19" i="10"/>
  <c r="N19" i="6"/>
  <c r="P19" i="6" s="1"/>
  <c r="M36" i="11"/>
  <c r="M36" i="12"/>
  <c r="M36" i="7"/>
  <c r="K36" i="4"/>
  <c r="P35" i="21"/>
  <c r="O19" i="10"/>
  <c r="N47" i="11"/>
  <c r="P47" i="11" s="1"/>
  <c r="R47" i="11" s="1"/>
  <c r="C47" i="11" s="1"/>
  <c r="D47" i="11" s="1"/>
  <c r="J47" i="11" s="1"/>
  <c r="N47" i="12"/>
  <c r="P47" i="12" s="1"/>
  <c r="R47" i="12" s="1"/>
  <c r="C47" i="12" s="1"/>
  <c r="D47" i="12" s="1"/>
  <c r="L12" i="13"/>
  <c r="L14" i="13"/>
  <c r="L29" i="13"/>
  <c r="L42" i="13"/>
  <c r="L18" i="15"/>
  <c r="L27" i="15"/>
  <c r="L39" i="15"/>
  <c r="K6" i="19"/>
  <c r="K34" i="19"/>
  <c r="K40" i="19"/>
  <c r="P6" i="21"/>
  <c r="O25" i="21"/>
  <c r="O38" i="21"/>
  <c r="K22" i="19"/>
  <c r="K31" i="19"/>
  <c r="P25" i="21"/>
  <c r="P37" i="21"/>
  <c r="K20" i="19"/>
  <c r="K29" i="19"/>
  <c r="K32" i="19"/>
  <c r="O11" i="21"/>
  <c r="O36" i="21"/>
  <c r="O40" i="21"/>
  <c r="M17" i="5"/>
  <c r="L29" i="7"/>
  <c r="N47" i="7"/>
  <c r="P47" i="7" s="1"/>
  <c r="R47" i="7" s="1"/>
  <c r="C47" i="7" s="1"/>
  <c r="D47" i="7" s="1"/>
  <c r="G47" i="7" s="1"/>
  <c r="O19" i="8"/>
  <c r="O33" i="8"/>
  <c r="M17" i="9"/>
  <c r="N17" i="10"/>
  <c r="O33" i="11"/>
  <c r="L17" i="12"/>
  <c r="O46" i="12"/>
  <c r="L16" i="13"/>
  <c r="L41" i="13"/>
  <c r="P11" i="21"/>
  <c r="O20" i="21"/>
  <c r="J25" i="4" s="1"/>
  <c r="P23" i="21"/>
  <c r="P34" i="21"/>
  <c r="O17" i="12"/>
  <c r="L19" i="13"/>
  <c r="L31" i="13"/>
  <c r="L39" i="13"/>
  <c r="L20" i="15"/>
  <c r="L41" i="15"/>
  <c r="K9" i="19"/>
  <c r="K18" i="19"/>
  <c r="K21" i="20"/>
  <c r="P7" i="21"/>
  <c r="O39" i="21"/>
  <c r="G31" i="8"/>
  <c r="O18" i="10"/>
  <c r="M30" i="11"/>
  <c r="M30" i="12"/>
  <c r="O18" i="9"/>
  <c r="M30" i="8"/>
  <c r="M30" i="7"/>
  <c r="O18" i="6"/>
  <c r="O18" i="5"/>
  <c r="K30" i="4"/>
  <c r="M18" i="3"/>
  <c r="L23" i="12"/>
  <c r="L23" i="11"/>
  <c r="L23" i="8"/>
  <c r="N12" i="10"/>
  <c r="N12" i="9"/>
  <c r="N12" i="5"/>
  <c r="L23" i="7"/>
  <c r="N12" i="6"/>
  <c r="J23" i="4"/>
  <c r="L12" i="3"/>
  <c r="M19" i="12"/>
  <c r="M19" i="11"/>
  <c r="M19" i="8"/>
  <c r="K19" i="4"/>
  <c r="M19" i="7"/>
  <c r="L14" i="12"/>
  <c r="L14" i="11"/>
  <c r="L14" i="8"/>
  <c r="J14" i="4"/>
  <c r="L14" i="7"/>
  <c r="L39" i="12"/>
  <c r="N22" i="10"/>
  <c r="L39" i="8"/>
  <c r="N22" i="9"/>
  <c r="L39" i="11"/>
  <c r="L39" i="7"/>
  <c r="N22" i="6"/>
  <c r="J39" i="4"/>
  <c r="N22" i="5"/>
  <c r="L22" i="3"/>
  <c r="K17" i="20"/>
  <c r="L25" i="12"/>
  <c r="M28" i="8"/>
  <c r="M28" i="11"/>
  <c r="O16" i="10"/>
  <c r="O16" i="9"/>
  <c r="O16" i="5"/>
  <c r="M28" i="12"/>
  <c r="M28" i="7"/>
  <c r="O16" i="6"/>
  <c r="M37" i="12"/>
  <c r="N37" i="12" s="1"/>
  <c r="P37" i="12" s="1"/>
  <c r="R37" i="12" s="1"/>
  <c r="C37" i="12" s="1"/>
  <c r="D37" i="12" s="1"/>
  <c r="M37" i="11"/>
  <c r="N37" i="11" s="1"/>
  <c r="P37" i="11" s="1"/>
  <c r="R37" i="11" s="1"/>
  <c r="C37" i="11" s="1"/>
  <c r="D37" i="11" s="1"/>
  <c r="M37" i="7"/>
  <c r="N37" i="7" s="1"/>
  <c r="P37" i="7" s="1"/>
  <c r="R37" i="7" s="1"/>
  <c r="C37" i="7" s="1"/>
  <c r="D37" i="7" s="1"/>
  <c r="M37" i="8"/>
  <c r="N37" i="8" s="1"/>
  <c r="P37" i="8" s="1"/>
  <c r="R37" i="8" s="1"/>
  <c r="C37" i="8" s="1"/>
  <c r="D37" i="8" s="1"/>
  <c r="K37" i="4"/>
  <c r="L37" i="4" s="1"/>
  <c r="N37" i="4" s="1"/>
  <c r="P37" i="4" s="1"/>
  <c r="C37" i="4" s="1"/>
  <c r="D37" i="4" s="1"/>
  <c r="F37" i="4" s="1"/>
  <c r="M39" i="12"/>
  <c r="O22" i="10"/>
  <c r="O22" i="9"/>
  <c r="M39" i="7"/>
  <c r="M39" i="8"/>
  <c r="O22" i="6"/>
  <c r="K39" i="4"/>
  <c r="M39" i="11"/>
  <c r="O22" i="5"/>
  <c r="L29" i="15"/>
  <c r="L32" i="15"/>
  <c r="M21" i="11"/>
  <c r="M21" i="12"/>
  <c r="N18" i="10"/>
  <c r="L30" i="11"/>
  <c r="O41" i="21"/>
  <c r="N15" i="10"/>
  <c r="L27" i="12"/>
  <c r="N24" i="10"/>
  <c r="P24" i="10" s="1"/>
  <c r="R24" i="10" s="1"/>
  <c r="T24" i="10" s="1"/>
  <c r="C24" i="10" s="1"/>
  <c r="E24" i="10" s="1"/>
  <c r="F24" i="10" s="1"/>
  <c r="L43" i="11"/>
  <c r="L43" i="12"/>
  <c r="N24" i="9"/>
  <c r="P24" i="9" s="1"/>
  <c r="R24" i="9" s="1"/>
  <c r="T24" i="9" s="1"/>
  <c r="C24" i="9" s="1"/>
  <c r="E24" i="9" s="1"/>
  <c r="F24" i="9" s="1"/>
  <c r="L45" i="11"/>
  <c r="L45" i="12"/>
  <c r="N45" i="12" s="1"/>
  <c r="P45" i="12" s="1"/>
  <c r="R45" i="12" s="1"/>
  <c r="C45" i="12" s="1"/>
  <c r="D45" i="12" s="1"/>
  <c r="N26" i="10"/>
  <c r="P26" i="10" s="1"/>
  <c r="R26" i="10" s="1"/>
  <c r="T26" i="10" s="1"/>
  <c r="C26" i="10" s="1"/>
  <c r="E26" i="10" s="1"/>
  <c r="F26" i="10" s="1"/>
  <c r="O35" i="11"/>
  <c r="O35" i="12"/>
  <c r="K30" i="20"/>
  <c r="L11" i="15"/>
  <c r="L11" i="11"/>
  <c r="L11" i="12"/>
  <c r="P33" i="21"/>
  <c r="M38" i="12"/>
  <c r="N38" i="12" s="1"/>
  <c r="P38" i="12" s="1"/>
  <c r="R38" i="12" s="1"/>
  <c r="C38" i="12" s="1"/>
  <c r="D38" i="12" s="1"/>
  <c r="G10" i="8"/>
  <c r="L8" i="15"/>
  <c r="K7" i="20"/>
  <c r="O12" i="12"/>
  <c r="P19" i="21"/>
  <c r="M24" i="12"/>
  <c r="M24" i="11"/>
  <c r="O5" i="21"/>
  <c r="N10" i="10" s="1"/>
  <c r="O30" i="21"/>
  <c r="L35" i="11" s="1"/>
  <c r="L35" i="15"/>
  <c r="O16" i="21"/>
  <c r="L21" i="12" s="1"/>
  <c r="O31" i="11"/>
  <c r="P31" i="11" s="1"/>
  <c r="R31" i="11" s="1"/>
  <c r="C31" i="11" s="1"/>
  <c r="D31" i="11" s="1"/>
  <c r="O14" i="21"/>
  <c r="P28" i="21"/>
  <c r="M33" i="12" s="1"/>
  <c r="P30" i="21"/>
  <c r="Q25" i="10"/>
  <c r="O44" i="11"/>
  <c r="O30" i="12"/>
  <c r="L36" i="13"/>
  <c r="K27" i="20"/>
  <c r="P27" i="21"/>
  <c r="L40" i="12"/>
  <c r="L17" i="11"/>
  <c r="L33" i="13"/>
  <c r="L12" i="12"/>
  <c r="L30" i="13"/>
  <c r="P21" i="21"/>
  <c r="Q18" i="10"/>
  <c r="O40" i="11"/>
  <c r="O40" i="12"/>
  <c r="L27" i="13"/>
  <c r="K41" i="20"/>
  <c r="O13" i="21"/>
  <c r="L18" i="12" s="1"/>
  <c r="N18" i="12" s="1"/>
  <c r="P18" i="12" s="1"/>
  <c r="R18" i="12" s="1"/>
  <c r="C18" i="12" s="1"/>
  <c r="D18" i="12" s="1"/>
  <c r="P18" i="21"/>
  <c r="O27" i="21"/>
  <c r="L42" i="12"/>
  <c r="L42" i="11"/>
  <c r="M45" i="11"/>
  <c r="O21" i="12"/>
  <c r="L21" i="13"/>
  <c r="P12" i="21"/>
  <c r="L18" i="13"/>
  <c r="K9" i="20"/>
  <c r="P9" i="21"/>
  <c r="O29" i="21"/>
  <c r="K39" i="20"/>
  <c r="L16" i="12"/>
  <c r="O23" i="21"/>
  <c r="L28" i="11" s="1"/>
  <c r="P39" i="21"/>
  <c r="L9" i="13"/>
  <c r="L24" i="12"/>
  <c r="O31" i="21"/>
  <c r="L36" i="12" s="1"/>
  <c r="L38" i="11"/>
  <c r="P36" i="21"/>
  <c r="C22" i="4" l="1"/>
  <c r="P48" i="4"/>
  <c r="O48" i="12"/>
  <c r="N28" i="11"/>
  <c r="O48" i="11"/>
  <c r="N30" i="11"/>
  <c r="P30" i="11"/>
  <c r="R30" i="11" s="1"/>
  <c r="C30" i="11" s="1"/>
  <c r="D30" i="11" s="1"/>
  <c r="G30" i="11" s="1"/>
  <c r="M28" i="10"/>
  <c r="Q28" i="10"/>
  <c r="P18" i="10"/>
  <c r="R18" i="10" s="1"/>
  <c r="T18" i="10" s="1"/>
  <c r="C18" i="10" s="1"/>
  <c r="E18" i="10" s="1"/>
  <c r="F18" i="10" s="1"/>
  <c r="I18" i="10" s="1"/>
  <c r="D10" i="10"/>
  <c r="D28" i="10" s="1"/>
  <c r="W28" i="10"/>
  <c r="I17" i="10"/>
  <c r="M28" i="9"/>
  <c r="D10" i="9"/>
  <c r="D28" i="9" s="1"/>
  <c r="W28" i="9"/>
  <c r="O48" i="7"/>
  <c r="P31" i="7"/>
  <c r="R31" i="7" s="1"/>
  <c r="C31" i="7" s="1"/>
  <c r="D31" i="7" s="1"/>
  <c r="Q28" i="6"/>
  <c r="D10" i="6"/>
  <c r="D28" i="6" s="1"/>
  <c r="W28" i="6"/>
  <c r="M28" i="5"/>
  <c r="Q28" i="5"/>
  <c r="L19" i="5"/>
  <c r="D10" i="5"/>
  <c r="D28" i="5" s="1"/>
  <c r="W28" i="5"/>
  <c r="O48" i="8"/>
  <c r="E28" i="25"/>
  <c r="F10" i="25"/>
  <c r="J10" i="24"/>
  <c r="J48" i="24" s="1"/>
  <c r="G10" i="24"/>
  <c r="G48" i="24" s="1"/>
  <c r="D48" i="24"/>
  <c r="R48" i="23"/>
  <c r="C10" i="23"/>
  <c r="C28" i="22"/>
  <c r="E10" i="22"/>
  <c r="N13" i="12"/>
  <c r="P13" i="12" s="1"/>
  <c r="R13" i="12" s="1"/>
  <c r="C13" i="12" s="1"/>
  <c r="D13" i="12" s="1"/>
  <c r="G13" i="12" s="1"/>
  <c r="G47" i="11"/>
  <c r="N43" i="11"/>
  <c r="P43" i="11" s="1"/>
  <c r="R43" i="11" s="1"/>
  <c r="C43" i="11" s="1"/>
  <c r="D43" i="11" s="1"/>
  <c r="P28" i="11"/>
  <c r="R28" i="11" s="1"/>
  <c r="C28" i="11" s="1"/>
  <c r="D28" i="11" s="1"/>
  <c r="L25" i="4"/>
  <c r="N25" i="4" s="1"/>
  <c r="P25" i="4" s="1"/>
  <c r="C25" i="4" s="1"/>
  <c r="D25" i="4" s="1"/>
  <c r="F25" i="4" s="1"/>
  <c r="N36" i="12"/>
  <c r="P36" i="12" s="1"/>
  <c r="R36" i="12" s="1"/>
  <c r="C36" i="12" s="1"/>
  <c r="D36" i="12" s="1"/>
  <c r="N25" i="12"/>
  <c r="P25" i="12" s="1"/>
  <c r="R25" i="12" s="1"/>
  <c r="C25" i="12" s="1"/>
  <c r="D25" i="12" s="1"/>
  <c r="N43" i="12"/>
  <c r="P43" i="12" s="1"/>
  <c r="R43" i="12" s="1"/>
  <c r="C43" i="12" s="1"/>
  <c r="D43" i="12" s="1"/>
  <c r="J43" i="12" s="1"/>
  <c r="N29" i="11"/>
  <c r="P29" i="11" s="1"/>
  <c r="R29" i="11" s="1"/>
  <c r="C29" i="11" s="1"/>
  <c r="D29" i="11" s="1"/>
  <c r="N24" i="11"/>
  <c r="P24" i="11" s="1"/>
  <c r="R24" i="11" s="1"/>
  <c r="C24" i="11" s="1"/>
  <c r="D24" i="11" s="1"/>
  <c r="P20" i="11"/>
  <c r="R20" i="11" s="1"/>
  <c r="C20" i="11" s="1"/>
  <c r="D20" i="11" s="1"/>
  <c r="G20" i="11" s="1"/>
  <c r="J47" i="8"/>
  <c r="H47" i="4"/>
  <c r="F47" i="4"/>
  <c r="N31" i="4"/>
  <c r="P31" i="4" s="1"/>
  <c r="C31" i="4" s="1"/>
  <c r="D31" i="4" s="1"/>
  <c r="N13" i="6"/>
  <c r="P13" i="6" s="1"/>
  <c r="R13" i="6" s="1"/>
  <c r="T13" i="6" s="1"/>
  <c r="C13" i="6" s="1"/>
  <c r="E13" i="6" s="1"/>
  <c r="F13" i="6" s="1"/>
  <c r="L13" i="6" s="1"/>
  <c r="L46" i="11"/>
  <c r="N46" i="11" s="1"/>
  <c r="P46" i="11" s="1"/>
  <c r="R46" i="11" s="1"/>
  <c r="C46" i="11" s="1"/>
  <c r="D46" i="11" s="1"/>
  <c r="G46" i="11" s="1"/>
  <c r="N27" i="10"/>
  <c r="P27" i="10" s="1"/>
  <c r="R27" i="10" s="1"/>
  <c r="T27" i="10" s="1"/>
  <c r="C27" i="10" s="1"/>
  <c r="E27" i="10" s="1"/>
  <c r="F27" i="10" s="1"/>
  <c r="I27" i="10" s="1"/>
  <c r="L13" i="3"/>
  <c r="N13" i="3" s="1"/>
  <c r="P13" i="3" s="1"/>
  <c r="R13" i="3" s="1"/>
  <c r="C13" i="3" s="1"/>
  <c r="E13" i="3" s="1"/>
  <c r="F13" i="3" s="1"/>
  <c r="L25" i="7"/>
  <c r="N25" i="7" s="1"/>
  <c r="P25" i="7" s="1"/>
  <c r="R25" i="7" s="1"/>
  <c r="C25" i="7" s="1"/>
  <c r="D25" i="7" s="1"/>
  <c r="L25" i="11"/>
  <c r="N25" i="11" s="1"/>
  <c r="P25" i="11" s="1"/>
  <c r="R25" i="11" s="1"/>
  <c r="C25" i="11" s="1"/>
  <c r="D25" i="11" s="1"/>
  <c r="J25" i="11" s="1"/>
  <c r="N13" i="10"/>
  <c r="P13" i="10" s="1"/>
  <c r="R13" i="10" s="1"/>
  <c r="T13" i="10" s="1"/>
  <c r="C13" i="10" s="1"/>
  <c r="E13" i="10" s="1"/>
  <c r="F13" i="10" s="1"/>
  <c r="L13" i="10" s="1"/>
  <c r="L25" i="8"/>
  <c r="N25" i="8" s="1"/>
  <c r="P25" i="8" s="1"/>
  <c r="R25" i="8" s="1"/>
  <c r="C25" i="8" s="1"/>
  <c r="D25" i="8" s="1"/>
  <c r="J25" i="8" s="1"/>
  <c r="N13" i="9"/>
  <c r="P13" i="9" s="1"/>
  <c r="R13" i="9" s="1"/>
  <c r="T13" i="9" s="1"/>
  <c r="C13" i="9" s="1"/>
  <c r="E13" i="9" s="1"/>
  <c r="F13" i="9" s="1"/>
  <c r="L13" i="9" s="1"/>
  <c r="N13" i="5"/>
  <c r="P13" i="5" s="1"/>
  <c r="R13" i="5" s="1"/>
  <c r="T13" i="5" s="1"/>
  <c r="C13" i="5" s="1"/>
  <c r="E13" i="5" s="1"/>
  <c r="F13" i="5" s="1"/>
  <c r="L13" i="5" s="1"/>
  <c r="O23" i="10"/>
  <c r="O23" i="6"/>
  <c r="K40" i="4"/>
  <c r="M40" i="12"/>
  <c r="N40" i="12" s="1"/>
  <c r="P40" i="12" s="1"/>
  <c r="R40" i="12" s="1"/>
  <c r="C40" i="12" s="1"/>
  <c r="D40" i="12" s="1"/>
  <c r="O23" i="9"/>
  <c r="M23" i="3"/>
  <c r="M40" i="8"/>
  <c r="O23" i="5"/>
  <c r="M40" i="7"/>
  <c r="M40" i="11"/>
  <c r="K15" i="4"/>
  <c r="M15" i="8"/>
  <c r="M15" i="11"/>
  <c r="M15" i="7"/>
  <c r="M15" i="12"/>
  <c r="M33" i="11"/>
  <c r="N33" i="11" s="1"/>
  <c r="P33" i="11" s="1"/>
  <c r="R33" i="11" s="1"/>
  <c r="C33" i="11" s="1"/>
  <c r="D33" i="11" s="1"/>
  <c r="L19" i="11"/>
  <c r="N19" i="11" s="1"/>
  <c r="P19" i="11" s="1"/>
  <c r="R19" i="11" s="1"/>
  <c r="C19" i="11" s="1"/>
  <c r="D19" i="11" s="1"/>
  <c r="L19" i="12"/>
  <c r="N19" i="12" s="1"/>
  <c r="P19" i="12" s="1"/>
  <c r="R19" i="12" s="1"/>
  <c r="C19" i="12" s="1"/>
  <c r="D19" i="12" s="1"/>
  <c r="J19" i="12" s="1"/>
  <c r="L10" i="12"/>
  <c r="M16" i="12"/>
  <c r="N16" i="12" s="1"/>
  <c r="P16" i="12" s="1"/>
  <c r="R16" i="12" s="1"/>
  <c r="C16" i="12" s="1"/>
  <c r="D16" i="12" s="1"/>
  <c r="K16" i="4"/>
  <c r="M16" i="7"/>
  <c r="M16" i="8"/>
  <c r="L30" i="8"/>
  <c r="N30" i="8" s="1"/>
  <c r="P30" i="8" s="1"/>
  <c r="R30" i="8" s="1"/>
  <c r="C30" i="8" s="1"/>
  <c r="D30" i="8" s="1"/>
  <c r="N18" i="6"/>
  <c r="P18" i="6" s="1"/>
  <c r="R18" i="6" s="1"/>
  <c r="T18" i="6" s="1"/>
  <c r="C18" i="6" s="1"/>
  <c r="E18" i="6" s="1"/>
  <c r="F18" i="6" s="1"/>
  <c r="N18" i="9"/>
  <c r="P18" i="9" s="1"/>
  <c r="R18" i="9" s="1"/>
  <c r="T18" i="9" s="1"/>
  <c r="C18" i="9" s="1"/>
  <c r="E18" i="9" s="1"/>
  <c r="F18" i="9" s="1"/>
  <c r="L18" i="9" s="1"/>
  <c r="N18" i="5"/>
  <c r="P18" i="5" s="1"/>
  <c r="R18" i="5" s="1"/>
  <c r="T18" i="5" s="1"/>
  <c r="C18" i="5" s="1"/>
  <c r="E18" i="5" s="1"/>
  <c r="F18" i="5" s="1"/>
  <c r="I18" i="5" s="1"/>
  <c r="L30" i="7"/>
  <c r="N30" i="7" s="1"/>
  <c r="P30" i="7" s="1"/>
  <c r="R30" i="7" s="1"/>
  <c r="C30" i="7" s="1"/>
  <c r="D30" i="7" s="1"/>
  <c r="J30" i="7" s="1"/>
  <c r="J30" i="4"/>
  <c r="L30" i="4" s="1"/>
  <c r="N30" i="4" s="1"/>
  <c r="P30" i="4" s="1"/>
  <c r="C30" i="4" s="1"/>
  <c r="D30" i="4" s="1"/>
  <c r="F30" i="4" s="1"/>
  <c r="L18" i="3"/>
  <c r="N18" i="3" s="1"/>
  <c r="P18" i="3" s="1"/>
  <c r="R18" i="3" s="1"/>
  <c r="C18" i="3" s="1"/>
  <c r="E18" i="3" s="1"/>
  <c r="F18" i="3" s="1"/>
  <c r="J18" i="3" s="1"/>
  <c r="L30" i="12"/>
  <c r="N30" i="12" s="1"/>
  <c r="P30" i="12" s="1"/>
  <c r="R30" i="12" s="1"/>
  <c r="C30" i="12" s="1"/>
  <c r="D30" i="12" s="1"/>
  <c r="J31" i="7"/>
  <c r="G31" i="7"/>
  <c r="M11" i="11"/>
  <c r="N11" i="11" s="1"/>
  <c r="P11" i="11" s="1"/>
  <c r="R11" i="11" s="1"/>
  <c r="C11" i="11" s="1"/>
  <c r="D11" i="11" s="1"/>
  <c r="M11" i="8"/>
  <c r="N11" i="8" s="1"/>
  <c r="P11" i="8" s="1"/>
  <c r="R11" i="8" s="1"/>
  <c r="K11" i="4"/>
  <c r="L11" i="4" s="1"/>
  <c r="N11" i="4" s="1"/>
  <c r="P11" i="4" s="1"/>
  <c r="C11" i="4" s="1"/>
  <c r="D11" i="4" s="1"/>
  <c r="F11" i="4" s="1"/>
  <c r="M11" i="7"/>
  <c r="N11" i="7" s="1"/>
  <c r="P11" i="7" s="1"/>
  <c r="R11" i="7" s="1"/>
  <c r="P19" i="3"/>
  <c r="R19" i="3" s="1"/>
  <c r="C19" i="3" s="1"/>
  <c r="E19" i="3" s="1"/>
  <c r="F19" i="3" s="1"/>
  <c r="N25" i="10"/>
  <c r="L44" i="12"/>
  <c r="N25" i="9"/>
  <c r="L44" i="7"/>
  <c r="N25" i="5"/>
  <c r="L44" i="8"/>
  <c r="L25" i="3"/>
  <c r="N25" i="6"/>
  <c r="J44" i="4"/>
  <c r="O15" i="5"/>
  <c r="O15" i="6"/>
  <c r="P15" i="6" s="1"/>
  <c r="R15" i="6" s="1"/>
  <c r="T15" i="6" s="1"/>
  <c r="C15" i="6" s="1"/>
  <c r="E15" i="6" s="1"/>
  <c r="F15" i="6" s="1"/>
  <c r="M15" i="3"/>
  <c r="N15" i="3" s="1"/>
  <c r="P15" i="3" s="1"/>
  <c r="R15" i="3" s="1"/>
  <c r="C15" i="3" s="1"/>
  <c r="E15" i="3" s="1"/>
  <c r="F15" i="3" s="1"/>
  <c r="O15" i="9"/>
  <c r="P15" i="9" s="1"/>
  <c r="R15" i="9" s="1"/>
  <c r="T15" i="9" s="1"/>
  <c r="C15" i="9" s="1"/>
  <c r="E15" i="9" s="1"/>
  <c r="F15" i="9" s="1"/>
  <c r="M12" i="11"/>
  <c r="N12" i="11" s="1"/>
  <c r="P12" i="11" s="1"/>
  <c r="R12" i="11" s="1"/>
  <c r="C12" i="11" s="1"/>
  <c r="D12" i="11" s="1"/>
  <c r="M12" i="12"/>
  <c r="N12" i="12" s="1"/>
  <c r="P12" i="12" s="1"/>
  <c r="R12" i="12" s="1"/>
  <c r="C12" i="12" s="1"/>
  <c r="D12" i="12" s="1"/>
  <c r="M11" i="3"/>
  <c r="O11" i="9"/>
  <c r="P11" i="9" s="1"/>
  <c r="R11" i="9" s="1"/>
  <c r="T11" i="9" s="1"/>
  <c r="C11" i="9" s="1"/>
  <c r="E11" i="9" s="1"/>
  <c r="F11" i="9" s="1"/>
  <c r="M12" i="7"/>
  <c r="N12" i="7" s="1"/>
  <c r="P12" i="7" s="1"/>
  <c r="R12" i="7" s="1"/>
  <c r="C12" i="7" s="1"/>
  <c r="D12" i="7" s="1"/>
  <c r="O11" i="10"/>
  <c r="P11" i="10" s="1"/>
  <c r="R11" i="10" s="1"/>
  <c r="T11" i="10" s="1"/>
  <c r="C11" i="10" s="1"/>
  <c r="E11" i="10" s="1"/>
  <c r="F11" i="10" s="1"/>
  <c r="O11" i="6"/>
  <c r="O11" i="5"/>
  <c r="P11" i="5" s="1"/>
  <c r="R11" i="5" s="1"/>
  <c r="T11" i="5" s="1"/>
  <c r="C11" i="5" s="1"/>
  <c r="E11" i="5" s="1"/>
  <c r="F11" i="5" s="1"/>
  <c r="K12" i="4"/>
  <c r="L12" i="4" s="1"/>
  <c r="N12" i="4" s="1"/>
  <c r="P12" i="4" s="1"/>
  <c r="C12" i="4" s="1"/>
  <c r="D12" i="4" s="1"/>
  <c r="M12" i="8"/>
  <c r="N12" i="8" s="1"/>
  <c r="P12" i="8" s="1"/>
  <c r="R12" i="8" s="1"/>
  <c r="C12" i="8" s="1"/>
  <c r="D12" i="8" s="1"/>
  <c r="M27" i="8"/>
  <c r="N27" i="8" s="1"/>
  <c r="P27" i="8" s="1"/>
  <c r="R27" i="8" s="1"/>
  <c r="C27" i="8" s="1"/>
  <c r="D27" i="8" s="1"/>
  <c r="N27" i="7"/>
  <c r="P27" i="7" s="1"/>
  <c r="R27" i="7" s="1"/>
  <c r="C27" i="7" s="1"/>
  <c r="D27" i="7" s="1"/>
  <c r="M10" i="12"/>
  <c r="M11" i="12"/>
  <c r="N11" i="12" s="1"/>
  <c r="P11" i="12" s="1"/>
  <c r="R11" i="12" s="1"/>
  <c r="C11" i="12" s="1"/>
  <c r="D11" i="12" s="1"/>
  <c r="N27" i="12"/>
  <c r="P27" i="12" s="1"/>
  <c r="R27" i="12" s="1"/>
  <c r="C27" i="12" s="1"/>
  <c r="D27" i="12" s="1"/>
  <c r="G27" i="12" s="1"/>
  <c r="J47" i="7"/>
  <c r="G47" i="12"/>
  <c r="J47" i="12"/>
  <c r="M29" i="8"/>
  <c r="N29" i="8" s="1"/>
  <c r="P29" i="8" s="1"/>
  <c r="R29" i="8" s="1"/>
  <c r="C29" i="8" s="1"/>
  <c r="D29" i="8" s="1"/>
  <c r="M17" i="3"/>
  <c r="N17" i="3" s="1"/>
  <c r="P17" i="3" s="1"/>
  <c r="R17" i="3" s="1"/>
  <c r="C17" i="3" s="1"/>
  <c r="E17" i="3" s="1"/>
  <c r="F17" i="3" s="1"/>
  <c r="O17" i="6"/>
  <c r="P17" i="6" s="1"/>
  <c r="R17" i="6" s="1"/>
  <c r="T17" i="6" s="1"/>
  <c r="C17" i="6" s="1"/>
  <c r="E17" i="6" s="1"/>
  <c r="F17" i="6" s="1"/>
  <c r="O17" i="5"/>
  <c r="P17" i="5" s="1"/>
  <c r="R17" i="5" s="1"/>
  <c r="T17" i="5" s="1"/>
  <c r="C17" i="5" s="1"/>
  <c r="E17" i="5" s="1"/>
  <c r="F17" i="5" s="1"/>
  <c r="L17" i="5" s="1"/>
  <c r="K29" i="4"/>
  <c r="L29" i="4" s="1"/>
  <c r="N29" i="4" s="1"/>
  <c r="P29" i="4" s="1"/>
  <c r="C29" i="4" s="1"/>
  <c r="D29" i="4" s="1"/>
  <c r="F29" i="4" s="1"/>
  <c r="M29" i="7"/>
  <c r="N29" i="7" s="1"/>
  <c r="P29" i="7" s="1"/>
  <c r="R29" i="7" s="1"/>
  <c r="C29" i="7" s="1"/>
  <c r="D29" i="7" s="1"/>
  <c r="O17" i="9"/>
  <c r="P17" i="9" s="1"/>
  <c r="R17" i="9" s="1"/>
  <c r="T17" i="9" s="1"/>
  <c r="C17" i="9" s="1"/>
  <c r="E17" i="9" s="1"/>
  <c r="F17" i="9" s="1"/>
  <c r="O15" i="10"/>
  <c r="P15" i="10" s="1"/>
  <c r="R15" i="10" s="1"/>
  <c r="T15" i="10" s="1"/>
  <c r="C15" i="10" s="1"/>
  <c r="E15" i="10" s="1"/>
  <c r="F15" i="10" s="1"/>
  <c r="M34" i="8"/>
  <c r="N13" i="11"/>
  <c r="P13" i="11" s="1"/>
  <c r="R13" i="11" s="1"/>
  <c r="C13" i="11" s="1"/>
  <c r="D13" i="11" s="1"/>
  <c r="J33" i="4"/>
  <c r="L33" i="12"/>
  <c r="N33" i="12" s="1"/>
  <c r="P33" i="12" s="1"/>
  <c r="R33" i="12" s="1"/>
  <c r="C33" i="12" s="1"/>
  <c r="D33" i="12" s="1"/>
  <c r="O10" i="10"/>
  <c r="O10" i="5"/>
  <c r="M10" i="8"/>
  <c r="O10" i="6"/>
  <c r="O10" i="9"/>
  <c r="M10" i="3"/>
  <c r="N11" i="3"/>
  <c r="P11" i="3" s="1"/>
  <c r="R11" i="3" s="1"/>
  <c r="C11" i="3" s="1"/>
  <c r="E11" i="3" s="1"/>
  <c r="F11" i="3" s="1"/>
  <c r="K10" i="4"/>
  <c r="L44" i="11"/>
  <c r="M42" i="12"/>
  <c r="N42" i="12" s="1"/>
  <c r="P42" i="12" s="1"/>
  <c r="R42" i="12" s="1"/>
  <c r="C42" i="12" s="1"/>
  <c r="D42" i="12" s="1"/>
  <c r="M42" i="8"/>
  <c r="N42" i="8" s="1"/>
  <c r="P42" i="8" s="1"/>
  <c r="R42" i="8" s="1"/>
  <c r="C42" i="8" s="1"/>
  <c r="D42" i="8" s="1"/>
  <c r="M42" i="7"/>
  <c r="N42" i="7" s="1"/>
  <c r="P42" i="7" s="1"/>
  <c r="R42" i="7" s="1"/>
  <c r="C42" i="7" s="1"/>
  <c r="D42" i="7" s="1"/>
  <c r="M42" i="11"/>
  <c r="N42" i="11" s="1"/>
  <c r="P42" i="11" s="1"/>
  <c r="R42" i="11" s="1"/>
  <c r="C42" i="11" s="1"/>
  <c r="D42" i="11" s="1"/>
  <c r="G42" i="11" s="1"/>
  <c r="K42" i="4"/>
  <c r="L42" i="4" s="1"/>
  <c r="N42" i="4" s="1"/>
  <c r="P42" i="4" s="1"/>
  <c r="C42" i="4" s="1"/>
  <c r="D42" i="4" s="1"/>
  <c r="F42" i="4" s="1"/>
  <c r="L26" i="12"/>
  <c r="L26" i="8"/>
  <c r="N14" i="6"/>
  <c r="L14" i="3"/>
  <c r="J26" i="4"/>
  <c r="N14" i="9"/>
  <c r="L26" i="7"/>
  <c r="N14" i="5"/>
  <c r="N14" i="10"/>
  <c r="P11" i="6"/>
  <c r="R11" i="6" s="1"/>
  <c r="T11" i="6" s="1"/>
  <c r="C11" i="6" s="1"/>
  <c r="E11" i="6" s="1"/>
  <c r="F11" i="6" s="1"/>
  <c r="I11" i="6" s="1"/>
  <c r="N24" i="12"/>
  <c r="P24" i="12" s="1"/>
  <c r="R24" i="12" s="1"/>
  <c r="C24" i="12" s="1"/>
  <c r="D24" i="12" s="1"/>
  <c r="J24" i="12" s="1"/>
  <c r="M22" i="3"/>
  <c r="N22" i="3" s="1"/>
  <c r="P22" i="3" s="1"/>
  <c r="R22" i="3" s="1"/>
  <c r="C22" i="3" s="1"/>
  <c r="E22" i="3" s="1"/>
  <c r="F22" i="3" s="1"/>
  <c r="J45" i="4"/>
  <c r="L45" i="4" s="1"/>
  <c r="N45" i="4" s="1"/>
  <c r="P45" i="4" s="1"/>
  <c r="C45" i="4" s="1"/>
  <c r="D45" i="4" s="1"/>
  <c r="F45" i="4" s="1"/>
  <c r="L45" i="7"/>
  <c r="N45" i="7" s="1"/>
  <c r="P45" i="7" s="1"/>
  <c r="R45" i="7" s="1"/>
  <c r="C45" i="7" s="1"/>
  <c r="D45" i="7" s="1"/>
  <c r="N26" i="6"/>
  <c r="P26" i="6" s="1"/>
  <c r="R26" i="6" s="1"/>
  <c r="T26" i="6" s="1"/>
  <c r="C26" i="6" s="1"/>
  <c r="E26" i="6" s="1"/>
  <c r="F26" i="6" s="1"/>
  <c r="L45" i="8"/>
  <c r="N45" i="8" s="1"/>
  <c r="P45" i="8" s="1"/>
  <c r="R45" i="8" s="1"/>
  <c r="C45" i="8" s="1"/>
  <c r="D45" i="8" s="1"/>
  <c r="J45" i="8" s="1"/>
  <c r="N26" i="9"/>
  <c r="P26" i="9" s="1"/>
  <c r="R26" i="9" s="1"/>
  <c r="T26" i="9" s="1"/>
  <c r="C26" i="9" s="1"/>
  <c r="E26" i="9" s="1"/>
  <c r="F26" i="9" s="1"/>
  <c r="L26" i="3"/>
  <c r="N26" i="3" s="1"/>
  <c r="P26" i="3" s="1"/>
  <c r="R26" i="3" s="1"/>
  <c r="C26" i="3" s="1"/>
  <c r="E26" i="3" s="1"/>
  <c r="F26" i="3" s="1"/>
  <c r="N26" i="5"/>
  <c r="P26" i="5" s="1"/>
  <c r="R26" i="5" s="1"/>
  <c r="T26" i="5" s="1"/>
  <c r="C26" i="5" s="1"/>
  <c r="E26" i="5" s="1"/>
  <c r="F26" i="5" s="1"/>
  <c r="L26" i="5" s="1"/>
  <c r="M10" i="11"/>
  <c r="L41" i="12"/>
  <c r="L41" i="8"/>
  <c r="L41" i="11"/>
  <c r="J41" i="4"/>
  <c r="L41" i="7"/>
  <c r="R19" i="6"/>
  <c r="T19" i="6" s="1"/>
  <c r="C19" i="6" s="1"/>
  <c r="E19" i="6" s="1"/>
  <c r="F19" i="6" s="1"/>
  <c r="K20" i="4"/>
  <c r="L20" i="4" s="1"/>
  <c r="N20" i="4" s="1"/>
  <c r="P20" i="4" s="1"/>
  <c r="C20" i="4" s="1"/>
  <c r="D20" i="4" s="1"/>
  <c r="F20" i="4" s="1"/>
  <c r="M20" i="8"/>
  <c r="N20" i="8" s="1"/>
  <c r="P20" i="8" s="1"/>
  <c r="R20" i="8" s="1"/>
  <c r="C20" i="8" s="1"/>
  <c r="D20" i="8" s="1"/>
  <c r="M20" i="12"/>
  <c r="N20" i="12" s="1"/>
  <c r="P20" i="12" s="1"/>
  <c r="R20" i="12" s="1"/>
  <c r="C20" i="12" s="1"/>
  <c r="D20" i="12" s="1"/>
  <c r="M20" i="7"/>
  <c r="N20" i="7" s="1"/>
  <c r="P20" i="7" s="1"/>
  <c r="R20" i="7" s="1"/>
  <c r="C20" i="7" s="1"/>
  <c r="D20" i="7" s="1"/>
  <c r="L40" i="11"/>
  <c r="L40" i="7"/>
  <c r="J40" i="4"/>
  <c r="L40" i="8"/>
  <c r="N40" i="8" s="1"/>
  <c r="P40" i="8" s="1"/>
  <c r="R40" i="8" s="1"/>
  <c r="C40" i="8" s="1"/>
  <c r="D40" i="8" s="1"/>
  <c r="N23" i="10"/>
  <c r="N23" i="6"/>
  <c r="N23" i="9"/>
  <c r="L23" i="3"/>
  <c r="N23" i="5"/>
  <c r="P15" i="5"/>
  <c r="R15" i="5" s="1"/>
  <c r="T15" i="5" s="1"/>
  <c r="C15" i="5" s="1"/>
  <c r="E15" i="5" s="1"/>
  <c r="F15" i="5" s="1"/>
  <c r="L33" i="7"/>
  <c r="M10" i="7"/>
  <c r="K34" i="4"/>
  <c r="L16" i="11"/>
  <c r="N16" i="11" s="1"/>
  <c r="P16" i="11" s="1"/>
  <c r="R16" i="11" s="1"/>
  <c r="C16" i="11" s="1"/>
  <c r="D16" i="11" s="1"/>
  <c r="J16" i="4"/>
  <c r="L16" i="7"/>
  <c r="L16" i="8"/>
  <c r="N24" i="5"/>
  <c r="P24" i="5" s="1"/>
  <c r="R24" i="5" s="1"/>
  <c r="T24" i="5" s="1"/>
  <c r="C24" i="5" s="1"/>
  <c r="E24" i="5" s="1"/>
  <c r="F24" i="5" s="1"/>
  <c r="L24" i="3"/>
  <c r="N24" i="3" s="1"/>
  <c r="P24" i="3" s="1"/>
  <c r="R24" i="3" s="1"/>
  <c r="C24" i="3" s="1"/>
  <c r="E24" i="3" s="1"/>
  <c r="F24" i="3" s="1"/>
  <c r="J43" i="4"/>
  <c r="L43" i="4" s="1"/>
  <c r="N43" i="4" s="1"/>
  <c r="P43" i="4" s="1"/>
  <c r="C43" i="4" s="1"/>
  <c r="D43" i="4" s="1"/>
  <c r="F43" i="4" s="1"/>
  <c r="L43" i="7"/>
  <c r="N43" i="7" s="1"/>
  <c r="P43" i="7" s="1"/>
  <c r="R43" i="7" s="1"/>
  <c r="C43" i="7" s="1"/>
  <c r="D43" i="7" s="1"/>
  <c r="N24" i="6"/>
  <c r="P24" i="6" s="1"/>
  <c r="R24" i="6" s="1"/>
  <c r="T24" i="6" s="1"/>
  <c r="C24" i="6" s="1"/>
  <c r="E24" i="6" s="1"/>
  <c r="F24" i="6" s="1"/>
  <c r="L43" i="8"/>
  <c r="N43" i="8" s="1"/>
  <c r="P43" i="8" s="1"/>
  <c r="R43" i="8" s="1"/>
  <c r="C43" i="8" s="1"/>
  <c r="D43" i="8" s="1"/>
  <c r="P19" i="10"/>
  <c r="R19" i="10" s="1"/>
  <c r="T19" i="10" s="1"/>
  <c r="C19" i="10" s="1"/>
  <c r="E19" i="10" s="1"/>
  <c r="F19" i="10" s="1"/>
  <c r="N29" i="12"/>
  <c r="P29" i="12" s="1"/>
  <c r="R29" i="12" s="1"/>
  <c r="C29" i="12" s="1"/>
  <c r="D29" i="12" s="1"/>
  <c r="G29" i="12" s="1"/>
  <c r="J13" i="4"/>
  <c r="L13" i="4" s="1"/>
  <c r="N13" i="4" s="1"/>
  <c r="P13" i="4" s="1"/>
  <c r="C13" i="4" s="1"/>
  <c r="D13" i="4" s="1"/>
  <c r="F13" i="4" s="1"/>
  <c r="L13" i="7"/>
  <c r="N13" i="7" s="1"/>
  <c r="P13" i="7" s="1"/>
  <c r="R13" i="7" s="1"/>
  <c r="C13" i="7" s="1"/>
  <c r="D13" i="7" s="1"/>
  <c r="L13" i="8"/>
  <c r="N13" i="8" s="1"/>
  <c r="P13" i="8" s="1"/>
  <c r="R13" i="8" s="1"/>
  <c r="C13" i="8" s="1"/>
  <c r="D13" i="8" s="1"/>
  <c r="K27" i="4"/>
  <c r="L27" i="4" s="1"/>
  <c r="N27" i="4" s="1"/>
  <c r="P27" i="4" s="1"/>
  <c r="C27" i="4" s="1"/>
  <c r="D27" i="4" s="1"/>
  <c r="F27" i="4" s="1"/>
  <c r="P31" i="12"/>
  <c r="R31" i="12" s="1"/>
  <c r="C31" i="12" s="1"/>
  <c r="D31" i="12" s="1"/>
  <c r="N27" i="11"/>
  <c r="P27" i="11" s="1"/>
  <c r="R27" i="11" s="1"/>
  <c r="C27" i="11" s="1"/>
  <c r="D27" i="11" s="1"/>
  <c r="L33" i="8"/>
  <c r="J15" i="4"/>
  <c r="L15" i="8"/>
  <c r="L15" i="7"/>
  <c r="L15" i="11"/>
  <c r="L15" i="12"/>
  <c r="J37" i="12"/>
  <c r="G37" i="12"/>
  <c r="G31" i="11"/>
  <c r="J31" i="11"/>
  <c r="J38" i="12"/>
  <c r="G38" i="12"/>
  <c r="G28" i="11"/>
  <c r="J28" i="11"/>
  <c r="M32" i="11"/>
  <c r="M32" i="12"/>
  <c r="M32" i="7"/>
  <c r="O20" i="10"/>
  <c r="O20" i="9"/>
  <c r="M32" i="8"/>
  <c r="O20" i="5"/>
  <c r="K32" i="4"/>
  <c r="O20" i="6"/>
  <c r="M20" i="3"/>
  <c r="L28" i="12"/>
  <c r="N28" i="12" s="1"/>
  <c r="P28" i="12" s="1"/>
  <c r="R28" i="12" s="1"/>
  <c r="C28" i="12" s="1"/>
  <c r="D28" i="12" s="1"/>
  <c r="O25" i="10"/>
  <c r="M44" i="7"/>
  <c r="M44" i="12"/>
  <c r="N44" i="12" s="1"/>
  <c r="P44" i="12" s="1"/>
  <c r="R44" i="12" s="1"/>
  <c r="C44" i="12" s="1"/>
  <c r="D44" i="12" s="1"/>
  <c r="O25" i="9"/>
  <c r="K44" i="4"/>
  <c r="L44" i="4" s="1"/>
  <c r="N44" i="4" s="1"/>
  <c r="P44" i="4" s="1"/>
  <c r="C44" i="4" s="1"/>
  <c r="D44" i="4" s="1"/>
  <c r="F44" i="4" s="1"/>
  <c r="O25" i="6"/>
  <c r="M44" i="8"/>
  <c r="M44" i="11"/>
  <c r="O25" i="5"/>
  <c r="P25" i="5" s="1"/>
  <c r="R25" i="5" s="1"/>
  <c r="T25" i="5" s="1"/>
  <c r="C25" i="5" s="1"/>
  <c r="E25" i="5" s="1"/>
  <c r="F25" i="5" s="1"/>
  <c r="M25" i="3"/>
  <c r="N25" i="3" s="1"/>
  <c r="P25" i="3" s="1"/>
  <c r="R25" i="3" s="1"/>
  <c r="C25" i="3" s="1"/>
  <c r="E25" i="3" s="1"/>
  <c r="F25" i="3" s="1"/>
  <c r="L19" i="8"/>
  <c r="N19" i="8" s="1"/>
  <c r="P19" i="8" s="1"/>
  <c r="R19" i="8" s="1"/>
  <c r="C19" i="8" s="1"/>
  <c r="D19" i="8" s="1"/>
  <c r="J19" i="4"/>
  <c r="L19" i="4" s="1"/>
  <c r="N19" i="4" s="1"/>
  <c r="P19" i="4" s="1"/>
  <c r="C19" i="4" s="1"/>
  <c r="D19" i="4" s="1"/>
  <c r="F19" i="4" s="1"/>
  <c r="L19" i="7"/>
  <c r="N19" i="7" s="1"/>
  <c r="P19" i="7" s="1"/>
  <c r="R19" i="7" s="1"/>
  <c r="C19" i="7" s="1"/>
  <c r="D19" i="7" s="1"/>
  <c r="L35" i="8"/>
  <c r="L35" i="7"/>
  <c r="J35" i="4"/>
  <c r="P22" i="5"/>
  <c r="R22" i="5" s="1"/>
  <c r="T22" i="5" s="1"/>
  <c r="C22" i="5" s="1"/>
  <c r="E22" i="5" s="1"/>
  <c r="F22" i="5" s="1"/>
  <c r="J19" i="11"/>
  <c r="G19" i="11"/>
  <c r="G43" i="11"/>
  <c r="J43" i="11"/>
  <c r="P22" i="6"/>
  <c r="R22" i="6" s="1"/>
  <c r="T22" i="6" s="1"/>
  <c r="C22" i="6" s="1"/>
  <c r="E22" i="6" s="1"/>
  <c r="F22" i="6" s="1"/>
  <c r="J29" i="11"/>
  <c r="G29" i="11"/>
  <c r="I24" i="10"/>
  <c r="L24" i="10"/>
  <c r="G25" i="11"/>
  <c r="N39" i="7"/>
  <c r="P39" i="7" s="1"/>
  <c r="R39" i="7" s="1"/>
  <c r="C39" i="7" s="1"/>
  <c r="D39" i="7" s="1"/>
  <c r="L24" i="9"/>
  <c r="I24" i="9"/>
  <c r="H37" i="4"/>
  <c r="J25" i="12"/>
  <c r="G25" i="12"/>
  <c r="N39" i="11"/>
  <c r="P39" i="11" s="1"/>
  <c r="R39" i="11" s="1"/>
  <c r="C39" i="11" s="1"/>
  <c r="D39" i="11" s="1"/>
  <c r="J11" i="3"/>
  <c r="H11" i="3"/>
  <c r="P22" i="9"/>
  <c r="R22" i="9" s="1"/>
  <c r="T22" i="9" s="1"/>
  <c r="C22" i="9" s="1"/>
  <c r="E22" i="9" s="1"/>
  <c r="F22" i="9" s="1"/>
  <c r="G24" i="11"/>
  <c r="J24" i="11"/>
  <c r="L34" i="8"/>
  <c r="L34" i="7"/>
  <c r="N34" i="7" s="1"/>
  <c r="P34" i="7" s="1"/>
  <c r="R34" i="7" s="1"/>
  <c r="C34" i="7" s="1"/>
  <c r="D34" i="7" s="1"/>
  <c r="L34" i="11"/>
  <c r="N34" i="11" s="1"/>
  <c r="P34" i="11" s="1"/>
  <c r="R34" i="11" s="1"/>
  <c r="C34" i="11" s="1"/>
  <c r="D34" i="11" s="1"/>
  <c r="J34" i="4"/>
  <c r="L34" i="12"/>
  <c r="N34" i="12" s="1"/>
  <c r="P34" i="12" s="1"/>
  <c r="R34" i="12" s="1"/>
  <c r="C34" i="12" s="1"/>
  <c r="D34" i="12" s="1"/>
  <c r="N21" i="12"/>
  <c r="P21" i="12" s="1"/>
  <c r="R21" i="12" s="1"/>
  <c r="C21" i="12" s="1"/>
  <c r="D21" i="12" s="1"/>
  <c r="L10" i="8"/>
  <c r="N10" i="9"/>
  <c r="L10" i="7"/>
  <c r="N10" i="6"/>
  <c r="L10" i="3"/>
  <c r="N10" i="5"/>
  <c r="J10" i="4"/>
  <c r="M38" i="11"/>
  <c r="N38" i="11" s="1"/>
  <c r="P38" i="11" s="1"/>
  <c r="R38" i="11" s="1"/>
  <c r="C38" i="11" s="1"/>
  <c r="D38" i="11" s="1"/>
  <c r="M38" i="7"/>
  <c r="N38" i="7" s="1"/>
  <c r="P38" i="7" s="1"/>
  <c r="R38" i="7" s="1"/>
  <c r="C38" i="7" s="1"/>
  <c r="D38" i="7" s="1"/>
  <c r="O21" i="9"/>
  <c r="P21" i="9" s="1"/>
  <c r="R21" i="9" s="1"/>
  <c r="T21" i="9" s="1"/>
  <c r="C21" i="9" s="1"/>
  <c r="E21" i="9" s="1"/>
  <c r="F21" i="9" s="1"/>
  <c r="O21" i="10"/>
  <c r="P21" i="10" s="1"/>
  <c r="R21" i="10" s="1"/>
  <c r="T21" i="10" s="1"/>
  <c r="C21" i="10" s="1"/>
  <c r="E21" i="10" s="1"/>
  <c r="F21" i="10" s="1"/>
  <c r="K38" i="4"/>
  <c r="L38" i="4" s="1"/>
  <c r="N38" i="4" s="1"/>
  <c r="P38" i="4" s="1"/>
  <c r="C38" i="4" s="1"/>
  <c r="D38" i="4" s="1"/>
  <c r="F38" i="4" s="1"/>
  <c r="O21" i="6"/>
  <c r="P21" i="6" s="1"/>
  <c r="R21" i="6" s="1"/>
  <c r="T21" i="6" s="1"/>
  <c r="C21" i="6" s="1"/>
  <c r="E21" i="6" s="1"/>
  <c r="F21" i="6" s="1"/>
  <c r="M38" i="8"/>
  <c r="N38" i="8" s="1"/>
  <c r="P38" i="8" s="1"/>
  <c r="R38" i="8" s="1"/>
  <c r="C38" i="8" s="1"/>
  <c r="D38" i="8" s="1"/>
  <c r="O21" i="5"/>
  <c r="P21" i="5" s="1"/>
  <c r="R21" i="5" s="1"/>
  <c r="T21" i="5" s="1"/>
  <c r="C21" i="5" s="1"/>
  <c r="E21" i="5" s="1"/>
  <c r="F21" i="5" s="1"/>
  <c r="M21" i="3"/>
  <c r="N21" i="3" s="1"/>
  <c r="P21" i="3" s="1"/>
  <c r="R21" i="3" s="1"/>
  <c r="C21" i="3" s="1"/>
  <c r="E21" i="3" s="1"/>
  <c r="F21" i="3" s="1"/>
  <c r="M41" i="12"/>
  <c r="M41" i="11"/>
  <c r="M41" i="8"/>
  <c r="M41" i="7"/>
  <c r="K41" i="4"/>
  <c r="M26" i="12"/>
  <c r="O14" i="10"/>
  <c r="O14" i="9"/>
  <c r="M26" i="11"/>
  <c r="N26" i="11" s="1"/>
  <c r="P26" i="11" s="1"/>
  <c r="R26" i="11" s="1"/>
  <c r="C26" i="11" s="1"/>
  <c r="D26" i="11" s="1"/>
  <c r="M26" i="7"/>
  <c r="M26" i="8"/>
  <c r="O14" i="6"/>
  <c r="K26" i="4"/>
  <c r="O14" i="5"/>
  <c r="M14" i="3"/>
  <c r="N14" i="3" s="1"/>
  <c r="P14" i="3" s="1"/>
  <c r="R14" i="3" s="1"/>
  <c r="C14" i="3" s="1"/>
  <c r="E14" i="3" s="1"/>
  <c r="F14" i="3" s="1"/>
  <c r="L21" i="8"/>
  <c r="N21" i="8" s="1"/>
  <c r="P21" i="8" s="1"/>
  <c r="R21" i="8" s="1"/>
  <c r="C21" i="8" s="1"/>
  <c r="D21" i="8" s="1"/>
  <c r="L21" i="11"/>
  <c r="N21" i="11" s="1"/>
  <c r="P21" i="11" s="1"/>
  <c r="R21" i="11" s="1"/>
  <c r="C21" i="11" s="1"/>
  <c r="D21" i="11" s="1"/>
  <c r="L21" i="7"/>
  <c r="N21" i="7" s="1"/>
  <c r="P21" i="7" s="1"/>
  <c r="R21" i="7" s="1"/>
  <c r="C21" i="7" s="1"/>
  <c r="D21" i="7" s="1"/>
  <c r="J21" i="4"/>
  <c r="L21" i="4" s="1"/>
  <c r="N21" i="4" s="1"/>
  <c r="P21" i="4" s="1"/>
  <c r="C21" i="4" s="1"/>
  <c r="D21" i="4" s="1"/>
  <c r="F21" i="4" s="1"/>
  <c r="L10" i="11"/>
  <c r="N39" i="8"/>
  <c r="P39" i="8" s="1"/>
  <c r="R39" i="8" s="1"/>
  <c r="C39" i="8" s="1"/>
  <c r="D39" i="8" s="1"/>
  <c r="L28" i="8"/>
  <c r="N28" i="8" s="1"/>
  <c r="P28" i="8" s="1"/>
  <c r="R28" i="8" s="1"/>
  <c r="C28" i="8" s="1"/>
  <c r="D28" i="8" s="1"/>
  <c r="N16" i="10"/>
  <c r="P16" i="10" s="1"/>
  <c r="R16" i="10" s="1"/>
  <c r="T16" i="10" s="1"/>
  <c r="C16" i="10" s="1"/>
  <c r="E16" i="10" s="1"/>
  <c r="F16" i="10" s="1"/>
  <c r="L28" i="7"/>
  <c r="N28" i="7" s="1"/>
  <c r="P28" i="7" s="1"/>
  <c r="R28" i="7" s="1"/>
  <c r="C28" i="7" s="1"/>
  <c r="D28" i="7" s="1"/>
  <c r="N16" i="9"/>
  <c r="P16" i="9" s="1"/>
  <c r="R16" i="9" s="1"/>
  <c r="T16" i="9" s="1"/>
  <c r="C16" i="9" s="1"/>
  <c r="E16" i="9" s="1"/>
  <c r="F16" i="9" s="1"/>
  <c r="N16" i="5"/>
  <c r="P16" i="5" s="1"/>
  <c r="R16" i="5" s="1"/>
  <c r="T16" i="5" s="1"/>
  <c r="C16" i="5" s="1"/>
  <c r="E16" i="5" s="1"/>
  <c r="F16" i="5" s="1"/>
  <c r="J28" i="4"/>
  <c r="L28" i="4" s="1"/>
  <c r="N28" i="4" s="1"/>
  <c r="P28" i="4" s="1"/>
  <c r="C28" i="4" s="1"/>
  <c r="D28" i="4" s="1"/>
  <c r="F28" i="4" s="1"/>
  <c r="N16" i="6"/>
  <c r="P16" i="6" s="1"/>
  <c r="R16" i="6" s="1"/>
  <c r="T16" i="6" s="1"/>
  <c r="C16" i="6" s="1"/>
  <c r="E16" i="6" s="1"/>
  <c r="F16" i="6" s="1"/>
  <c r="L16" i="3"/>
  <c r="N16" i="3" s="1"/>
  <c r="P16" i="3" s="1"/>
  <c r="R16" i="3" s="1"/>
  <c r="C16" i="3" s="1"/>
  <c r="E16" i="3" s="1"/>
  <c r="F16" i="3" s="1"/>
  <c r="M14" i="12"/>
  <c r="N14" i="12" s="1"/>
  <c r="P14" i="12" s="1"/>
  <c r="R14" i="12" s="1"/>
  <c r="C14" i="12" s="1"/>
  <c r="D14" i="12" s="1"/>
  <c r="M14" i="11"/>
  <c r="N14" i="11" s="1"/>
  <c r="P14" i="11" s="1"/>
  <c r="R14" i="11" s="1"/>
  <c r="C14" i="11" s="1"/>
  <c r="D14" i="11" s="1"/>
  <c r="M14" i="8"/>
  <c r="N14" i="8" s="1"/>
  <c r="P14" i="8" s="1"/>
  <c r="R14" i="8" s="1"/>
  <c r="C14" i="8" s="1"/>
  <c r="D14" i="8" s="1"/>
  <c r="M14" i="7"/>
  <c r="N14" i="7" s="1"/>
  <c r="P14" i="7" s="1"/>
  <c r="R14" i="7" s="1"/>
  <c r="C14" i="7" s="1"/>
  <c r="D14" i="7" s="1"/>
  <c r="K14" i="4"/>
  <c r="L14" i="4" s="1"/>
  <c r="N14" i="4" s="1"/>
  <c r="P14" i="4" s="1"/>
  <c r="C14" i="4" s="1"/>
  <c r="D14" i="4" s="1"/>
  <c r="F14" i="4" s="1"/>
  <c r="L32" i="12"/>
  <c r="N20" i="10"/>
  <c r="N20" i="9"/>
  <c r="P20" i="9" s="1"/>
  <c r="R20" i="9" s="1"/>
  <c r="T20" i="9" s="1"/>
  <c r="C20" i="9" s="1"/>
  <c r="E20" i="9" s="1"/>
  <c r="F20" i="9" s="1"/>
  <c r="L32" i="7"/>
  <c r="L32" i="8"/>
  <c r="N20" i="5"/>
  <c r="J32" i="4"/>
  <c r="L20" i="3"/>
  <c r="N20" i="6"/>
  <c r="I26" i="10"/>
  <c r="L26" i="10"/>
  <c r="L19" i="9"/>
  <c r="I19" i="9"/>
  <c r="P22" i="10"/>
  <c r="R22" i="10" s="1"/>
  <c r="T22" i="10" s="1"/>
  <c r="C22" i="10" s="1"/>
  <c r="E22" i="10" s="1"/>
  <c r="F22" i="10" s="1"/>
  <c r="L39" i="4"/>
  <c r="N39" i="4" s="1"/>
  <c r="P39" i="4" s="1"/>
  <c r="C39" i="4" s="1"/>
  <c r="D39" i="4" s="1"/>
  <c r="F39" i="4" s="1"/>
  <c r="J37" i="7"/>
  <c r="G37" i="7"/>
  <c r="N39" i="12"/>
  <c r="P39" i="12" s="1"/>
  <c r="R39" i="12" s="1"/>
  <c r="C39" i="12" s="1"/>
  <c r="D39" i="12" s="1"/>
  <c r="J18" i="12"/>
  <c r="G18" i="12"/>
  <c r="M33" i="7"/>
  <c r="M33" i="8"/>
  <c r="N33" i="8" s="1"/>
  <c r="P33" i="8" s="1"/>
  <c r="R33" i="8" s="1"/>
  <c r="C33" i="8" s="1"/>
  <c r="D33" i="8" s="1"/>
  <c r="K33" i="4"/>
  <c r="N45" i="11"/>
  <c r="P45" i="11" s="1"/>
  <c r="R45" i="11" s="1"/>
  <c r="C45" i="11" s="1"/>
  <c r="D45" i="11" s="1"/>
  <c r="I18" i="9"/>
  <c r="G37" i="8"/>
  <c r="J37" i="8"/>
  <c r="M17" i="12"/>
  <c r="N17" i="12" s="1"/>
  <c r="P17" i="12" s="1"/>
  <c r="R17" i="12" s="1"/>
  <c r="C17" i="12" s="1"/>
  <c r="D17" i="12" s="1"/>
  <c r="M17" i="8"/>
  <c r="N17" i="8" s="1"/>
  <c r="P17" i="8" s="1"/>
  <c r="R17" i="8" s="1"/>
  <c r="C17" i="8" s="1"/>
  <c r="D17" i="8" s="1"/>
  <c r="M17" i="11"/>
  <c r="N17" i="11" s="1"/>
  <c r="P17" i="11" s="1"/>
  <c r="R17" i="11" s="1"/>
  <c r="C17" i="11" s="1"/>
  <c r="D17" i="11" s="1"/>
  <c r="M17" i="7"/>
  <c r="N17" i="7" s="1"/>
  <c r="P17" i="7" s="1"/>
  <c r="R17" i="7" s="1"/>
  <c r="C17" i="7" s="1"/>
  <c r="D17" i="7" s="1"/>
  <c r="K17" i="4"/>
  <c r="L17" i="4" s="1"/>
  <c r="N17" i="4" s="1"/>
  <c r="P17" i="4" s="1"/>
  <c r="C17" i="4" s="1"/>
  <c r="D17" i="4" s="1"/>
  <c r="F17" i="4" s="1"/>
  <c r="G37" i="11"/>
  <c r="J37" i="11"/>
  <c r="L36" i="7"/>
  <c r="N36" i="7" s="1"/>
  <c r="P36" i="7" s="1"/>
  <c r="R36" i="7" s="1"/>
  <c r="C36" i="7" s="1"/>
  <c r="D36" i="7" s="1"/>
  <c r="L36" i="8"/>
  <c r="N36" i="8" s="1"/>
  <c r="P36" i="8" s="1"/>
  <c r="R36" i="8" s="1"/>
  <c r="C36" i="8" s="1"/>
  <c r="D36" i="8" s="1"/>
  <c r="J36" i="4"/>
  <c r="L36" i="4" s="1"/>
  <c r="N36" i="4" s="1"/>
  <c r="P36" i="4" s="1"/>
  <c r="C36" i="4" s="1"/>
  <c r="D36" i="4" s="1"/>
  <c r="F36" i="4" s="1"/>
  <c r="M23" i="12"/>
  <c r="N23" i="12" s="1"/>
  <c r="P23" i="12" s="1"/>
  <c r="R23" i="12" s="1"/>
  <c r="C23" i="12" s="1"/>
  <c r="D23" i="12" s="1"/>
  <c r="M23" i="8"/>
  <c r="N23" i="8" s="1"/>
  <c r="P23" i="8" s="1"/>
  <c r="R23" i="8" s="1"/>
  <c r="C23" i="8" s="1"/>
  <c r="D23" i="8" s="1"/>
  <c r="O12" i="10"/>
  <c r="P12" i="10" s="1"/>
  <c r="R12" i="10" s="1"/>
  <c r="T12" i="10" s="1"/>
  <c r="C12" i="10" s="1"/>
  <c r="E12" i="10" s="1"/>
  <c r="F12" i="10" s="1"/>
  <c r="O12" i="9"/>
  <c r="P12" i="9" s="1"/>
  <c r="R12" i="9" s="1"/>
  <c r="T12" i="9" s="1"/>
  <c r="C12" i="9" s="1"/>
  <c r="E12" i="9" s="1"/>
  <c r="F12" i="9" s="1"/>
  <c r="O12" i="5"/>
  <c r="P12" i="5" s="1"/>
  <c r="R12" i="5" s="1"/>
  <c r="T12" i="5" s="1"/>
  <c r="C12" i="5" s="1"/>
  <c r="E12" i="5" s="1"/>
  <c r="F12" i="5" s="1"/>
  <c r="M23" i="7"/>
  <c r="N23" i="7" s="1"/>
  <c r="P23" i="7" s="1"/>
  <c r="R23" i="7" s="1"/>
  <c r="C23" i="7" s="1"/>
  <c r="D23" i="7" s="1"/>
  <c r="M23" i="11"/>
  <c r="N23" i="11" s="1"/>
  <c r="P23" i="11" s="1"/>
  <c r="R23" i="11" s="1"/>
  <c r="C23" i="11" s="1"/>
  <c r="D23" i="11" s="1"/>
  <c r="O12" i="6"/>
  <c r="P12" i="6" s="1"/>
  <c r="R12" i="6" s="1"/>
  <c r="T12" i="6" s="1"/>
  <c r="C12" i="6" s="1"/>
  <c r="E12" i="6" s="1"/>
  <c r="F12" i="6" s="1"/>
  <c r="M12" i="3"/>
  <c r="N12" i="3" s="1"/>
  <c r="P12" i="3" s="1"/>
  <c r="R12" i="3" s="1"/>
  <c r="C12" i="3" s="1"/>
  <c r="E12" i="3" s="1"/>
  <c r="F12" i="3" s="1"/>
  <c r="K23" i="4"/>
  <c r="L23" i="4" s="1"/>
  <c r="N23" i="4" s="1"/>
  <c r="P23" i="4" s="1"/>
  <c r="C23" i="4" s="1"/>
  <c r="D23" i="4" s="1"/>
  <c r="F23" i="4" s="1"/>
  <c r="M35" i="12"/>
  <c r="M35" i="8"/>
  <c r="M35" i="11"/>
  <c r="N35" i="11" s="1"/>
  <c r="P35" i="11" s="1"/>
  <c r="R35" i="11" s="1"/>
  <c r="C35" i="11" s="1"/>
  <c r="D35" i="11" s="1"/>
  <c r="M35" i="7"/>
  <c r="K35" i="4"/>
  <c r="G45" i="12"/>
  <c r="J45" i="12"/>
  <c r="L18" i="11"/>
  <c r="N18" i="11" s="1"/>
  <c r="P18" i="11" s="1"/>
  <c r="R18" i="11" s="1"/>
  <c r="C18" i="11" s="1"/>
  <c r="D18" i="11" s="1"/>
  <c r="L18" i="8"/>
  <c r="N18" i="8" s="1"/>
  <c r="P18" i="8" s="1"/>
  <c r="R18" i="8" s="1"/>
  <c r="C18" i="8" s="1"/>
  <c r="D18" i="8" s="1"/>
  <c r="J18" i="4"/>
  <c r="L18" i="4" s="1"/>
  <c r="N18" i="4" s="1"/>
  <c r="P18" i="4" s="1"/>
  <c r="C18" i="4" s="1"/>
  <c r="D18" i="4" s="1"/>
  <c r="F18" i="4" s="1"/>
  <c r="L18" i="7"/>
  <c r="N18" i="7" s="1"/>
  <c r="P18" i="7" s="1"/>
  <c r="R18" i="7" s="1"/>
  <c r="C18" i="7" s="1"/>
  <c r="D18" i="7" s="1"/>
  <c r="L46" i="8"/>
  <c r="N46" i="8" s="1"/>
  <c r="P46" i="8" s="1"/>
  <c r="R46" i="8" s="1"/>
  <c r="C46" i="8" s="1"/>
  <c r="D46" i="8" s="1"/>
  <c r="N27" i="9"/>
  <c r="P27" i="9" s="1"/>
  <c r="R27" i="9" s="1"/>
  <c r="T27" i="9" s="1"/>
  <c r="C27" i="9" s="1"/>
  <c r="E27" i="9" s="1"/>
  <c r="F27" i="9" s="1"/>
  <c r="L46" i="7"/>
  <c r="N46" i="7" s="1"/>
  <c r="P46" i="7" s="1"/>
  <c r="R46" i="7" s="1"/>
  <c r="C46" i="7" s="1"/>
  <c r="D46" i="7" s="1"/>
  <c r="N27" i="6"/>
  <c r="P27" i="6" s="1"/>
  <c r="R27" i="6" s="1"/>
  <c r="T27" i="6" s="1"/>
  <c r="C27" i="6" s="1"/>
  <c r="E27" i="6" s="1"/>
  <c r="F27" i="6" s="1"/>
  <c r="N27" i="5"/>
  <c r="P27" i="5" s="1"/>
  <c r="R27" i="5" s="1"/>
  <c r="T27" i="5" s="1"/>
  <c r="C27" i="5" s="1"/>
  <c r="E27" i="5" s="1"/>
  <c r="F27" i="5" s="1"/>
  <c r="J46" i="4"/>
  <c r="L46" i="4" s="1"/>
  <c r="N46" i="4" s="1"/>
  <c r="P46" i="4" s="1"/>
  <c r="C46" i="4" s="1"/>
  <c r="D46" i="4" s="1"/>
  <c r="F46" i="4" s="1"/>
  <c r="L27" i="3"/>
  <c r="N27" i="3" s="1"/>
  <c r="P27" i="3" s="1"/>
  <c r="R27" i="3" s="1"/>
  <c r="C27" i="3" s="1"/>
  <c r="E27" i="3" s="1"/>
  <c r="F27" i="3" s="1"/>
  <c r="L36" i="11"/>
  <c r="N36" i="11" s="1"/>
  <c r="P36" i="11" s="1"/>
  <c r="R36" i="11" s="1"/>
  <c r="C36" i="11" s="1"/>
  <c r="D36" i="11" s="1"/>
  <c r="L32" i="11"/>
  <c r="L35" i="12"/>
  <c r="M24" i="8"/>
  <c r="N24" i="8" s="1"/>
  <c r="P24" i="8" s="1"/>
  <c r="R24" i="8" s="1"/>
  <c r="C24" i="8" s="1"/>
  <c r="D24" i="8" s="1"/>
  <c r="M24" i="7"/>
  <c r="N24" i="7" s="1"/>
  <c r="P24" i="7" s="1"/>
  <c r="R24" i="7" s="1"/>
  <c r="C24" i="7" s="1"/>
  <c r="D24" i="7" s="1"/>
  <c r="K24" i="4"/>
  <c r="L24" i="4" s="1"/>
  <c r="N24" i="4" s="1"/>
  <c r="P24" i="4" s="1"/>
  <c r="C24" i="4" s="1"/>
  <c r="D24" i="4" s="1"/>
  <c r="F24" i="4" s="1"/>
  <c r="L46" i="12"/>
  <c r="N46" i="12" s="1"/>
  <c r="P46" i="12" s="1"/>
  <c r="R46" i="12" s="1"/>
  <c r="C46" i="12" s="1"/>
  <c r="D46" i="12" s="1"/>
  <c r="H25" i="4"/>
  <c r="D22" i="4" l="1"/>
  <c r="C48" i="4"/>
  <c r="L48" i="12"/>
  <c r="M48" i="12"/>
  <c r="G43" i="12"/>
  <c r="J13" i="12"/>
  <c r="N15" i="12"/>
  <c r="P15" i="12" s="1"/>
  <c r="R15" i="12" s="1"/>
  <c r="C15" i="12" s="1"/>
  <c r="D15" i="12" s="1"/>
  <c r="J15" i="12" s="1"/>
  <c r="J30" i="11"/>
  <c r="J20" i="11"/>
  <c r="L48" i="11"/>
  <c r="M48" i="11"/>
  <c r="P25" i="10"/>
  <c r="R25" i="10" s="1"/>
  <c r="T25" i="10" s="1"/>
  <c r="C25" i="10" s="1"/>
  <c r="E25" i="10" s="1"/>
  <c r="F25" i="10" s="1"/>
  <c r="N28" i="10"/>
  <c r="P10" i="10"/>
  <c r="O28" i="10"/>
  <c r="P14" i="10"/>
  <c r="R14" i="10" s="1"/>
  <c r="T14" i="10" s="1"/>
  <c r="C14" i="10" s="1"/>
  <c r="E14" i="10" s="1"/>
  <c r="F14" i="10" s="1"/>
  <c r="P23" i="9"/>
  <c r="R23" i="9" s="1"/>
  <c r="T23" i="9" s="1"/>
  <c r="C23" i="9" s="1"/>
  <c r="E23" i="9" s="1"/>
  <c r="F23" i="9" s="1"/>
  <c r="P25" i="9"/>
  <c r="R25" i="9" s="1"/>
  <c r="T25" i="9" s="1"/>
  <c r="C25" i="9" s="1"/>
  <c r="E25" i="9" s="1"/>
  <c r="F25" i="9" s="1"/>
  <c r="P10" i="9"/>
  <c r="N28" i="9"/>
  <c r="O28" i="9"/>
  <c r="N26" i="7"/>
  <c r="P26" i="7" s="1"/>
  <c r="R26" i="7" s="1"/>
  <c r="C26" i="7" s="1"/>
  <c r="D26" i="7" s="1"/>
  <c r="N10" i="7"/>
  <c r="L48" i="7"/>
  <c r="M48" i="7"/>
  <c r="C11" i="7"/>
  <c r="I13" i="6"/>
  <c r="P23" i="6"/>
  <c r="R23" i="6" s="1"/>
  <c r="T23" i="6" s="1"/>
  <c r="C23" i="6" s="1"/>
  <c r="E23" i="6" s="1"/>
  <c r="F23" i="6" s="1"/>
  <c r="I15" i="6"/>
  <c r="L15" i="6"/>
  <c r="I18" i="6"/>
  <c r="L18" i="6"/>
  <c r="L11" i="6"/>
  <c r="P14" i="6"/>
  <c r="R14" i="6" s="1"/>
  <c r="T14" i="6" s="1"/>
  <c r="C14" i="6" s="1"/>
  <c r="E14" i="6" s="1"/>
  <c r="F14" i="6" s="1"/>
  <c r="L14" i="6" s="1"/>
  <c r="P20" i="6"/>
  <c r="R20" i="6" s="1"/>
  <c r="T20" i="6" s="1"/>
  <c r="C20" i="6" s="1"/>
  <c r="E20" i="6" s="1"/>
  <c r="F20" i="6" s="1"/>
  <c r="I20" i="6" s="1"/>
  <c r="P10" i="6"/>
  <c r="N28" i="6"/>
  <c r="O28" i="6"/>
  <c r="I26" i="5"/>
  <c r="I13" i="5"/>
  <c r="L18" i="5"/>
  <c r="P14" i="5"/>
  <c r="R14" i="5" s="1"/>
  <c r="T14" i="5" s="1"/>
  <c r="C14" i="5" s="1"/>
  <c r="E14" i="5" s="1"/>
  <c r="F14" i="5" s="1"/>
  <c r="P23" i="5"/>
  <c r="R23" i="5" s="1"/>
  <c r="T23" i="5" s="1"/>
  <c r="C23" i="5" s="1"/>
  <c r="E23" i="5" s="1"/>
  <c r="F23" i="5" s="1"/>
  <c r="L23" i="5" s="1"/>
  <c r="P10" i="5"/>
  <c r="N28" i="5"/>
  <c r="I17" i="5"/>
  <c r="O28" i="5"/>
  <c r="P20" i="5"/>
  <c r="R20" i="5" s="1"/>
  <c r="T20" i="5" s="1"/>
  <c r="C20" i="5" s="1"/>
  <c r="E20" i="5" s="1"/>
  <c r="F20" i="5" s="1"/>
  <c r="N44" i="8"/>
  <c r="P44" i="8" s="1"/>
  <c r="R44" i="8" s="1"/>
  <c r="C44" i="8" s="1"/>
  <c r="D44" i="8" s="1"/>
  <c r="L48" i="8"/>
  <c r="N26" i="8"/>
  <c r="P26" i="8" s="1"/>
  <c r="R26" i="8" s="1"/>
  <c r="C26" i="8" s="1"/>
  <c r="D26" i="8" s="1"/>
  <c r="C11" i="8"/>
  <c r="G25" i="8"/>
  <c r="M48" i="8"/>
  <c r="I10" i="25"/>
  <c r="F28" i="25"/>
  <c r="L10" i="25"/>
  <c r="L28" i="25" s="1"/>
  <c r="D10" i="23"/>
  <c r="C48" i="23"/>
  <c r="E28" i="22"/>
  <c r="F10" i="22"/>
  <c r="J36" i="12"/>
  <c r="G36" i="12"/>
  <c r="G15" i="12"/>
  <c r="N26" i="12"/>
  <c r="P26" i="12" s="1"/>
  <c r="R26" i="12" s="1"/>
  <c r="C26" i="12" s="1"/>
  <c r="D26" i="12" s="1"/>
  <c r="N10" i="11"/>
  <c r="J46" i="11"/>
  <c r="N32" i="11"/>
  <c r="P32" i="11" s="1"/>
  <c r="R32" i="11" s="1"/>
  <c r="C32" i="11" s="1"/>
  <c r="D32" i="11" s="1"/>
  <c r="G32" i="11" s="1"/>
  <c r="G45" i="8"/>
  <c r="N32" i="8"/>
  <c r="P32" i="8" s="1"/>
  <c r="R32" i="8" s="1"/>
  <c r="C32" i="8" s="1"/>
  <c r="D32" i="8" s="1"/>
  <c r="J32" i="8" s="1"/>
  <c r="N34" i="8"/>
  <c r="P34" i="8" s="1"/>
  <c r="R34" i="8" s="1"/>
  <c r="C34" i="8" s="1"/>
  <c r="D34" i="8" s="1"/>
  <c r="J34" i="8" s="1"/>
  <c r="G29" i="7"/>
  <c r="J29" i="7"/>
  <c r="N44" i="7"/>
  <c r="P44" i="7" s="1"/>
  <c r="R44" i="7" s="1"/>
  <c r="C44" i="7" s="1"/>
  <c r="D44" i="7" s="1"/>
  <c r="J44" i="7" s="1"/>
  <c r="J42" i="12"/>
  <c r="G42" i="12"/>
  <c r="N44" i="11"/>
  <c r="P44" i="11" s="1"/>
  <c r="R44" i="11" s="1"/>
  <c r="C44" i="11" s="1"/>
  <c r="D44" i="11" s="1"/>
  <c r="J44" i="11" s="1"/>
  <c r="N15" i="11"/>
  <c r="P15" i="11" s="1"/>
  <c r="R15" i="11" s="1"/>
  <c r="C15" i="11" s="1"/>
  <c r="D15" i="11" s="1"/>
  <c r="N16" i="8"/>
  <c r="P16" i="8" s="1"/>
  <c r="R16" i="8" s="1"/>
  <c r="C16" i="8" s="1"/>
  <c r="D16" i="8" s="1"/>
  <c r="J16" i="8" s="1"/>
  <c r="N10" i="8"/>
  <c r="N41" i="8"/>
  <c r="P41" i="8" s="1"/>
  <c r="R41" i="8" s="1"/>
  <c r="C41" i="8" s="1"/>
  <c r="D41" i="8" s="1"/>
  <c r="G41" i="8" s="1"/>
  <c r="N41" i="7"/>
  <c r="P41" i="7" s="1"/>
  <c r="R41" i="7" s="1"/>
  <c r="C41" i="7" s="1"/>
  <c r="D41" i="7" s="1"/>
  <c r="J41" i="7" s="1"/>
  <c r="N15" i="7"/>
  <c r="P15" i="7" s="1"/>
  <c r="R15" i="7" s="1"/>
  <c r="C15" i="7" s="1"/>
  <c r="D15" i="7" s="1"/>
  <c r="J15" i="7" s="1"/>
  <c r="G30" i="7"/>
  <c r="H12" i="4"/>
  <c r="F12" i="4"/>
  <c r="L32" i="4"/>
  <c r="N32" i="4" s="1"/>
  <c r="P32" i="4" s="1"/>
  <c r="C32" i="4" s="1"/>
  <c r="D32" i="4" s="1"/>
  <c r="F32" i="4" s="1"/>
  <c r="L41" i="4"/>
  <c r="N41" i="4" s="1"/>
  <c r="P41" i="4" s="1"/>
  <c r="C41" i="4" s="1"/>
  <c r="D41" i="4" s="1"/>
  <c r="F41" i="4" s="1"/>
  <c r="H42" i="4"/>
  <c r="L35" i="4"/>
  <c r="N35" i="4" s="1"/>
  <c r="P35" i="4" s="1"/>
  <c r="C35" i="4" s="1"/>
  <c r="D35" i="4" s="1"/>
  <c r="F35" i="4" s="1"/>
  <c r="F31" i="4"/>
  <c r="H31" i="4"/>
  <c r="L27" i="10"/>
  <c r="L18" i="10"/>
  <c r="I13" i="10"/>
  <c r="G33" i="12"/>
  <c r="J33" i="12"/>
  <c r="J29" i="8"/>
  <c r="G29" i="8"/>
  <c r="H27" i="4"/>
  <c r="L17" i="9"/>
  <c r="I17" i="9"/>
  <c r="J30" i="8"/>
  <c r="G30" i="8"/>
  <c r="H30" i="4"/>
  <c r="J33" i="11"/>
  <c r="G33" i="11"/>
  <c r="H24" i="3"/>
  <c r="J24" i="3"/>
  <c r="J22" i="3"/>
  <c r="H22" i="3"/>
  <c r="J12" i="12"/>
  <c r="G12" i="12"/>
  <c r="J11" i="11"/>
  <c r="G11" i="11"/>
  <c r="L15" i="10"/>
  <c r="I15" i="10"/>
  <c r="G16" i="12"/>
  <c r="J16" i="12"/>
  <c r="H17" i="3"/>
  <c r="J17" i="3"/>
  <c r="L15" i="9"/>
  <c r="I15" i="9"/>
  <c r="J29" i="12"/>
  <c r="L17" i="6"/>
  <c r="I17" i="6"/>
  <c r="L23" i="9"/>
  <c r="I23" i="9"/>
  <c r="J27" i="8"/>
  <c r="G27" i="8"/>
  <c r="H29" i="4"/>
  <c r="P14" i="9"/>
  <c r="R14" i="9" s="1"/>
  <c r="T14" i="9" s="1"/>
  <c r="C14" i="9" s="1"/>
  <c r="E14" i="9" s="1"/>
  <c r="F14" i="9" s="1"/>
  <c r="L10" i="4"/>
  <c r="N10" i="4" s="1"/>
  <c r="P10" i="4" s="1"/>
  <c r="C10" i="4" s="1"/>
  <c r="D10" i="4" s="1"/>
  <c r="F10" i="4" s="1"/>
  <c r="J27" i="12"/>
  <c r="G19" i="12"/>
  <c r="G15" i="11"/>
  <c r="J15" i="11"/>
  <c r="G27" i="11"/>
  <c r="J27" i="11"/>
  <c r="L19" i="10"/>
  <c r="I19" i="10"/>
  <c r="L24" i="5"/>
  <c r="I24" i="5"/>
  <c r="I23" i="6"/>
  <c r="L23" i="6"/>
  <c r="L11" i="9"/>
  <c r="I11" i="9"/>
  <c r="H45" i="4"/>
  <c r="J42" i="7"/>
  <c r="G42" i="7"/>
  <c r="G12" i="11"/>
  <c r="J12" i="11"/>
  <c r="J20" i="12"/>
  <c r="G20" i="12"/>
  <c r="J45" i="7"/>
  <c r="G45" i="7"/>
  <c r="J42" i="11"/>
  <c r="N16" i="7"/>
  <c r="P16" i="7" s="1"/>
  <c r="R16" i="7" s="1"/>
  <c r="C16" i="7" s="1"/>
  <c r="D16" i="7" s="1"/>
  <c r="I15" i="5"/>
  <c r="L15" i="5"/>
  <c r="G40" i="8"/>
  <c r="J40" i="8"/>
  <c r="H20" i="4"/>
  <c r="L26" i="9"/>
  <c r="I26" i="9"/>
  <c r="G42" i="8"/>
  <c r="J42" i="8"/>
  <c r="I11" i="10"/>
  <c r="L11" i="10"/>
  <c r="L40" i="4"/>
  <c r="N40" i="4" s="1"/>
  <c r="P40" i="4" s="1"/>
  <c r="C40" i="4" s="1"/>
  <c r="D40" i="4" s="1"/>
  <c r="F40" i="4" s="1"/>
  <c r="P20" i="10"/>
  <c r="R20" i="10" s="1"/>
  <c r="T20" i="10" s="1"/>
  <c r="C20" i="10" s="1"/>
  <c r="E20" i="10" s="1"/>
  <c r="F20" i="10" s="1"/>
  <c r="L20" i="10" s="1"/>
  <c r="G20" i="8"/>
  <c r="J20" i="8"/>
  <c r="J12" i="7"/>
  <c r="G12" i="7"/>
  <c r="L33" i="4"/>
  <c r="N33" i="4" s="1"/>
  <c r="P33" i="4" s="1"/>
  <c r="C33" i="4" s="1"/>
  <c r="D33" i="4" s="1"/>
  <c r="F33" i="4" s="1"/>
  <c r="L26" i="4"/>
  <c r="N26" i="4" s="1"/>
  <c r="P26" i="4" s="1"/>
  <c r="C26" i="4" s="1"/>
  <c r="D26" i="4" s="1"/>
  <c r="F26" i="4" s="1"/>
  <c r="N41" i="11"/>
  <c r="P41" i="11" s="1"/>
  <c r="R41" i="11" s="1"/>
  <c r="C41" i="11" s="1"/>
  <c r="D41" i="11" s="1"/>
  <c r="G41" i="11" s="1"/>
  <c r="N10" i="3"/>
  <c r="P10" i="3" s="1"/>
  <c r="R10" i="3" s="1"/>
  <c r="C10" i="3" s="1"/>
  <c r="E10" i="3" s="1"/>
  <c r="F10" i="3" s="1"/>
  <c r="H10" i="3" s="1"/>
  <c r="N15" i="8"/>
  <c r="P15" i="8" s="1"/>
  <c r="R15" i="8" s="1"/>
  <c r="C15" i="8" s="1"/>
  <c r="D15" i="8" s="1"/>
  <c r="J43" i="8"/>
  <c r="G43" i="8"/>
  <c r="L19" i="6"/>
  <c r="I19" i="6"/>
  <c r="G27" i="7"/>
  <c r="J27" i="7"/>
  <c r="J15" i="3"/>
  <c r="H15" i="3"/>
  <c r="L16" i="4"/>
  <c r="N16" i="4" s="1"/>
  <c r="P16" i="4" s="1"/>
  <c r="C16" i="4" s="1"/>
  <c r="D16" i="4" s="1"/>
  <c r="F16" i="4" s="1"/>
  <c r="N40" i="7"/>
  <c r="P40" i="7" s="1"/>
  <c r="R40" i="7" s="1"/>
  <c r="C40" i="7" s="1"/>
  <c r="D40" i="7" s="1"/>
  <c r="G31" i="12"/>
  <c r="J31" i="12"/>
  <c r="H26" i="3"/>
  <c r="J26" i="3"/>
  <c r="H18" i="3"/>
  <c r="N20" i="3"/>
  <c r="P20" i="3" s="1"/>
  <c r="R20" i="3" s="1"/>
  <c r="C20" i="3" s="1"/>
  <c r="E20" i="3" s="1"/>
  <c r="F20" i="3" s="1"/>
  <c r="H20" i="3" s="1"/>
  <c r="N33" i="7"/>
  <c r="P33" i="7" s="1"/>
  <c r="R33" i="7" s="1"/>
  <c r="C33" i="7" s="1"/>
  <c r="D33" i="7" s="1"/>
  <c r="G33" i="7" s="1"/>
  <c r="N41" i="12"/>
  <c r="P41" i="12" s="1"/>
  <c r="R41" i="12" s="1"/>
  <c r="C41" i="12" s="1"/>
  <c r="D41" i="12" s="1"/>
  <c r="G41" i="12" s="1"/>
  <c r="L34" i="4"/>
  <c r="N34" i="4" s="1"/>
  <c r="P34" i="4" s="1"/>
  <c r="C34" i="4" s="1"/>
  <c r="D34" i="4" s="1"/>
  <c r="F34" i="4" s="1"/>
  <c r="I13" i="9"/>
  <c r="P25" i="6"/>
  <c r="R25" i="6" s="1"/>
  <c r="T25" i="6" s="1"/>
  <c r="C25" i="6" s="1"/>
  <c r="E25" i="6" s="1"/>
  <c r="F25" i="6" s="1"/>
  <c r="I25" i="6" s="1"/>
  <c r="L15" i="4"/>
  <c r="N15" i="4" s="1"/>
  <c r="P15" i="4" s="1"/>
  <c r="C15" i="4" s="1"/>
  <c r="D15" i="4" s="1"/>
  <c r="F15" i="4" s="1"/>
  <c r="G13" i="8"/>
  <c r="J13" i="8"/>
  <c r="I24" i="6"/>
  <c r="L24" i="6"/>
  <c r="J13" i="11"/>
  <c r="G13" i="11"/>
  <c r="J19" i="3"/>
  <c r="H19" i="3"/>
  <c r="P23" i="10"/>
  <c r="R23" i="10" s="1"/>
  <c r="T23" i="10" s="1"/>
  <c r="C23" i="10" s="1"/>
  <c r="E23" i="10" s="1"/>
  <c r="F23" i="10" s="1"/>
  <c r="G24" i="12"/>
  <c r="H11" i="4"/>
  <c r="L11" i="5"/>
  <c r="I11" i="5"/>
  <c r="G13" i="7"/>
  <c r="J13" i="7"/>
  <c r="G43" i="7"/>
  <c r="J43" i="7"/>
  <c r="G16" i="11"/>
  <c r="J16" i="11"/>
  <c r="N40" i="11"/>
  <c r="P40" i="11" s="1"/>
  <c r="R40" i="11" s="1"/>
  <c r="C40" i="11" s="1"/>
  <c r="D40" i="11" s="1"/>
  <c r="G12" i="8"/>
  <c r="J12" i="8"/>
  <c r="G25" i="7"/>
  <c r="J25" i="7"/>
  <c r="H13" i="4"/>
  <c r="H43" i="4"/>
  <c r="N23" i="3"/>
  <c r="P23" i="3" s="1"/>
  <c r="R23" i="3" s="1"/>
  <c r="C23" i="3" s="1"/>
  <c r="E23" i="3" s="1"/>
  <c r="F23" i="3" s="1"/>
  <c r="J20" i="7"/>
  <c r="G20" i="7"/>
  <c r="I26" i="6"/>
  <c r="L26" i="6"/>
  <c r="N10" i="12"/>
  <c r="H13" i="3"/>
  <c r="J13" i="3"/>
  <c r="J14" i="12"/>
  <c r="G14" i="12"/>
  <c r="G35" i="11"/>
  <c r="J35" i="11"/>
  <c r="G23" i="12"/>
  <c r="J23" i="12"/>
  <c r="J14" i="11"/>
  <c r="G14" i="11"/>
  <c r="I12" i="6"/>
  <c r="L12" i="6"/>
  <c r="G38" i="11"/>
  <c r="J38" i="11"/>
  <c r="J23" i="7"/>
  <c r="G23" i="7"/>
  <c r="L12" i="5"/>
  <c r="I12" i="5"/>
  <c r="G14" i="7"/>
  <c r="J14" i="7"/>
  <c r="H23" i="4"/>
  <c r="G14" i="8"/>
  <c r="J14" i="8"/>
  <c r="J34" i="12"/>
  <c r="G34" i="12"/>
  <c r="J18" i="7"/>
  <c r="G18" i="7"/>
  <c r="L22" i="6"/>
  <c r="I22" i="6"/>
  <c r="H36" i="4"/>
  <c r="J17" i="11"/>
  <c r="G17" i="11"/>
  <c r="H28" i="4"/>
  <c r="G26" i="8"/>
  <c r="J26" i="8"/>
  <c r="G41" i="7"/>
  <c r="L21" i="9"/>
  <c r="I21" i="9"/>
  <c r="G21" i="12"/>
  <c r="J21" i="12"/>
  <c r="G36" i="11"/>
  <c r="J36" i="11"/>
  <c r="H21" i="4"/>
  <c r="J28" i="7"/>
  <c r="G28" i="7"/>
  <c r="J21" i="7"/>
  <c r="G21" i="7"/>
  <c r="L14" i="9"/>
  <c r="I14" i="9"/>
  <c r="H10" i="4"/>
  <c r="G39" i="7"/>
  <c r="J39" i="7"/>
  <c r="N35" i="7"/>
  <c r="P35" i="7" s="1"/>
  <c r="R35" i="7" s="1"/>
  <c r="C35" i="7" s="1"/>
  <c r="D35" i="7" s="1"/>
  <c r="G44" i="8"/>
  <c r="J44" i="8"/>
  <c r="J38" i="7"/>
  <c r="G38" i="7"/>
  <c r="J23" i="8"/>
  <c r="G23" i="8"/>
  <c r="I16" i="10"/>
  <c r="L16" i="10"/>
  <c r="G21" i="11"/>
  <c r="J21" i="11"/>
  <c r="I14" i="10"/>
  <c r="L14" i="10"/>
  <c r="J34" i="11"/>
  <c r="G34" i="11"/>
  <c r="I22" i="5"/>
  <c r="L22" i="5"/>
  <c r="N35" i="8"/>
  <c r="P35" i="8" s="1"/>
  <c r="R35" i="8" s="1"/>
  <c r="C35" i="8" s="1"/>
  <c r="D35" i="8" s="1"/>
  <c r="J17" i="8"/>
  <c r="G17" i="8"/>
  <c r="H12" i="3"/>
  <c r="J12" i="3"/>
  <c r="H18" i="4"/>
  <c r="J46" i="12"/>
  <c r="G46" i="12"/>
  <c r="J45" i="11"/>
  <c r="G45" i="11"/>
  <c r="H39" i="4"/>
  <c r="L20" i="5"/>
  <c r="I20" i="5"/>
  <c r="J28" i="8"/>
  <c r="G28" i="8"/>
  <c r="J21" i="8"/>
  <c r="G21" i="8"/>
  <c r="J26" i="12"/>
  <c r="G26" i="12"/>
  <c r="G34" i="7"/>
  <c r="J34" i="7"/>
  <c r="H44" i="4"/>
  <c r="L25" i="5"/>
  <c r="I25" i="5"/>
  <c r="J26" i="11"/>
  <c r="G26" i="11"/>
  <c r="J36" i="8"/>
  <c r="G36" i="8"/>
  <c r="I12" i="9"/>
  <c r="L12" i="9"/>
  <c r="L27" i="5"/>
  <c r="I27" i="5"/>
  <c r="H14" i="4"/>
  <c r="G32" i="8"/>
  <c r="J21" i="3"/>
  <c r="H21" i="3"/>
  <c r="J10" i="3"/>
  <c r="J19" i="7"/>
  <c r="G19" i="7"/>
  <c r="L25" i="9"/>
  <c r="I25" i="9"/>
  <c r="G17" i="12"/>
  <c r="J17" i="12"/>
  <c r="J18" i="8"/>
  <c r="G18" i="8"/>
  <c r="J36" i="7"/>
  <c r="G36" i="7"/>
  <c r="H24" i="4"/>
  <c r="L27" i="6"/>
  <c r="I27" i="6"/>
  <c r="N32" i="7"/>
  <c r="P32" i="7" s="1"/>
  <c r="R32" i="7" s="1"/>
  <c r="C32" i="7" s="1"/>
  <c r="D32" i="7" s="1"/>
  <c r="L21" i="5"/>
  <c r="I21" i="5"/>
  <c r="H19" i="4"/>
  <c r="J44" i="12"/>
  <c r="G44" i="12"/>
  <c r="L16" i="5"/>
  <c r="I16" i="5"/>
  <c r="J24" i="7"/>
  <c r="G24" i="7"/>
  <c r="G46" i="7"/>
  <c r="J46" i="7"/>
  <c r="J33" i="8"/>
  <c r="G33" i="8"/>
  <c r="I20" i="9"/>
  <c r="L20" i="9"/>
  <c r="J14" i="3"/>
  <c r="H14" i="3"/>
  <c r="G38" i="8"/>
  <c r="J38" i="8"/>
  <c r="L22" i="9"/>
  <c r="I22" i="9"/>
  <c r="G19" i="8"/>
  <c r="J19" i="8"/>
  <c r="H46" i="4"/>
  <c r="J24" i="8"/>
  <c r="G24" i="8"/>
  <c r="J33" i="7"/>
  <c r="H16" i="3"/>
  <c r="J16" i="3"/>
  <c r="J39" i="8"/>
  <c r="G39" i="8"/>
  <c r="I14" i="5"/>
  <c r="L14" i="5"/>
  <c r="L21" i="6"/>
  <c r="I21" i="6"/>
  <c r="J40" i="12"/>
  <c r="G40" i="12"/>
  <c r="I25" i="10"/>
  <c r="L25" i="10"/>
  <c r="J23" i="11"/>
  <c r="G23" i="11"/>
  <c r="I12" i="10"/>
  <c r="L12" i="10"/>
  <c r="N35" i="12"/>
  <c r="P35" i="12" s="1"/>
  <c r="R35" i="12" s="1"/>
  <c r="C35" i="12" s="1"/>
  <c r="D35" i="12" s="1"/>
  <c r="H17" i="4"/>
  <c r="G39" i="12"/>
  <c r="J39" i="12"/>
  <c r="N32" i="12"/>
  <c r="P32" i="12" s="1"/>
  <c r="R32" i="12" s="1"/>
  <c r="C32" i="12" s="1"/>
  <c r="D32" i="12" s="1"/>
  <c r="H41" i="4"/>
  <c r="H38" i="4"/>
  <c r="J39" i="11"/>
  <c r="G39" i="11"/>
  <c r="J30" i="12"/>
  <c r="G30" i="12"/>
  <c r="J26" i="7"/>
  <c r="G26" i="7"/>
  <c r="J27" i="3"/>
  <c r="H27" i="3"/>
  <c r="I16" i="9"/>
  <c r="L16" i="9"/>
  <c r="G18" i="11"/>
  <c r="J18" i="11"/>
  <c r="L27" i="9"/>
  <c r="I27" i="9"/>
  <c r="J46" i="8"/>
  <c r="G46" i="8"/>
  <c r="J32" i="11"/>
  <c r="J17" i="7"/>
  <c r="G17" i="7"/>
  <c r="I22" i="10"/>
  <c r="L22" i="10"/>
  <c r="I16" i="6"/>
  <c r="L16" i="6"/>
  <c r="G11" i="12"/>
  <c r="J11" i="12"/>
  <c r="L21" i="10"/>
  <c r="I21" i="10"/>
  <c r="H25" i="3"/>
  <c r="J25" i="3"/>
  <c r="J28" i="12"/>
  <c r="G28" i="12"/>
  <c r="D48" i="4" l="1"/>
  <c r="F22" i="4"/>
  <c r="F48" i="4" s="1"/>
  <c r="H22" i="4"/>
  <c r="H48" i="4" s="1"/>
  <c r="P10" i="12"/>
  <c r="N48" i="12"/>
  <c r="P10" i="11"/>
  <c r="N48" i="11"/>
  <c r="R10" i="10"/>
  <c r="P28" i="10"/>
  <c r="R10" i="9"/>
  <c r="P28" i="9"/>
  <c r="G15" i="7"/>
  <c r="R48" i="7"/>
  <c r="D11" i="7"/>
  <c r="C48" i="7"/>
  <c r="G44" i="7"/>
  <c r="P10" i="7"/>
  <c r="P48" i="7" s="1"/>
  <c r="N48" i="7"/>
  <c r="I14" i="6"/>
  <c r="L25" i="6"/>
  <c r="R10" i="6"/>
  <c r="P28" i="6"/>
  <c r="L20" i="6"/>
  <c r="I23" i="5"/>
  <c r="R10" i="5"/>
  <c r="P28" i="5"/>
  <c r="J41" i="8"/>
  <c r="G34" i="8"/>
  <c r="P10" i="8"/>
  <c r="P48" i="8" s="1"/>
  <c r="N48" i="8"/>
  <c r="R48" i="8"/>
  <c r="D11" i="8"/>
  <c r="C48" i="8"/>
  <c r="G10" i="23"/>
  <c r="G48" i="23" s="1"/>
  <c r="D48" i="23"/>
  <c r="J10" i="23"/>
  <c r="J48" i="23" s="1"/>
  <c r="L10" i="22"/>
  <c r="L28" i="22" s="1"/>
  <c r="I10" i="22"/>
  <c r="I28" i="22" s="1"/>
  <c r="F28" i="22"/>
  <c r="G44" i="11"/>
  <c r="G16" i="8"/>
  <c r="H34" i="4"/>
  <c r="J41" i="11"/>
  <c r="H32" i="4"/>
  <c r="H26" i="4"/>
  <c r="H35" i="4"/>
  <c r="I20" i="10"/>
  <c r="H33" i="4"/>
  <c r="J41" i="12"/>
  <c r="J20" i="3"/>
  <c r="H15" i="4"/>
  <c r="H16" i="4"/>
  <c r="J15" i="8"/>
  <c r="G15" i="8"/>
  <c r="L23" i="10"/>
  <c r="I23" i="10"/>
  <c r="J23" i="3"/>
  <c r="H23" i="3"/>
  <c r="H40" i="4"/>
  <c r="J16" i="7"/>
  <c r="G16" i="7"/>
  <c r="J40" i="11"/>
  <c r="G40" i="11"/>
  <c r="J40" i="7"/>
  <c r="G40" i="7"/>
  <c r="J32" i="12"/>
  <c r="G32" i="12"/>
  <c r="J35" i="8"/>
  <c r="G35" i="8"/>
  <c r="G35" i="12"/>
  <c r="J35" i="12"/>
  <c r="G35" i="7"/>
  <c r="J35" i="7"/>
  <c r="J32" i="7"/>
  <c r="G32" i="7"/>
  <c r="R10" i="12" l="1"/>
  <c r="P48" i="12"/>
  <c r="R10" i="11"/>
  <c r="P48" i="11"/>
  <c r="T10" i="10"/>
  <c r="R28" i="10"/>
  <c r="T10" i="9"/>
  <c r="R28" i="9"/>
  <c r="D48" i="7"/>
  <c r="J11" i="7"/>
  <c r="J48" i="7" s="1"/>
  <c r="G11" i="7"/>
  <c r="G48" i="7" s="1"/>
  <c r="T10" i="6"/>
  <c r="R28" i="6"/>
  <c r="T10" i="5"/>
  <c r="R28" i="5"/>
  <c r="D48" i="8"/>
  <c r="J11" i="8"/>
  <c r="J48" i="8" s="1"/>
  <c r="G11" i="8"/>
  <c r="C10" i="12" l="1"/>
  <c r="R48" i="12"/>
  <c r="C10" i="11"/>
  <c r="R48" i="11"/>
  <c r="C10" i="10"/>
  <c r="T28" i="10"/>
  <c r="C10" i="9"/>
  <c r="T28" i="9"/>
  <c r="C10" i="6"/>
  <c r="T28" i="6"/>
  <c r="C10" i="5"/>
  <c r="T28" i="5"/>
  <c r="D10" i="12" l="1"/>
  <c r="C48" i="12"/>
  <c r="D10" i="11"/>
  <c r="C48" i="11"/>
  <c r="E10" i="10"/>
  <c r="C28" i="10"/>
  <c r="E10" i="9"/>
  <c r="C28" i="9"/>
  <c r="E10" i="6"/>
  <c r="C28" i="6"/>
  <c r="E10" i="5"/>
  <c r="C28" i="5"/>
  <c r="D48" i="12" l="1"/>
  <c r="G10" i="12"/>
  <c r="G48" i="12" s="1"/>
  <c r="J10" i="12"/>
  <c r="J48" i="12" s="1"/>
  <c r="G10" i="11"/>
  <c r="G48" i="11" s="1"/>
  <c r="D48" i="11"/>
  <c r="J10" i="11"/>
  <c r="J48" i="11" s="1"/>
  <c r="F10" i="10"/>
  <c r="E28" i="10"/>
  <c r="F10" i="9"/>
  <c r="E28" i="9"/>
  <c r="F10" i="6"/>
  <c r="E28" i="6"/>
  <c r="F10" i="5"/>
  <c r="E28" i="5"/>
  <c r="F28" i="10" l="1"/>
  <c r="L10" i="10"/>
  <c r="L28" i="10" s="1"/>
  <c r="I10" i="10"/>
  <c r="I28" i="10" s="1"/>
  <c r="F28" i="9"/>
  <c r="L10" i="9"/>
  <c r="L28" i="9" s="1"/>
  <c r="I10" i="9"/>
  <c r="I28" i="9" s="1"/>
  <c r="F28" i="6"/>
  <c r="L10" i="6"/>
  <c r="L28" i="6" s="1"/>
  <c r="I10" i="6"/>
  <c r="I28" i="6" s="1"/>
  <c r="F28" i="5"/>
  <c r="L10" i="5"/>
  <c r="L28" i="5" s="1"/>
  <c r="I10" i="5"/>
  <c r="I28" i="5" s="1"/>
</calcChain>
</file>

<file path=xl/sharedStrings.xml><?xml version="1.0" encoding="utf-8"?>
<sst xmlns="http://schemas.openxmlformats.org/spreadsheetml/2006/main" count="2127" uniqueCount="221">
  <si>
    <t>Category</t>
  </si>
  <si>
    <t>Multiplier</t>
  </si>
  <si>
    <t>Household Size</t>
  </si>
  <si>
    <t>School Age Children</t>
  </si>
  <si>
    <t>Location</t>
  </si>
  <si>
    <t>4-5 Bedroom Single Family Detached "Break Even Analysis"</t>
  </si>
  <si>
    <t>Fiscal Analysis</t>
  </si>
  <si>
    <t>School and Municipal Fiscal Impact Analysis</t>
  </si>
  <si>
    <t>County</t>
  </si>
  <si>
    <t>Municipality</t>
  </si>
  <si>
    <t xml:space="preserve"> Municipal Tax Supported Cost</t>
  </si>
  <si>
    <t xml:space="preserve">School Tax Supported Cost </t>
  </si>
  <si>
    <t>Total Tax Supported Cost</t>
  </si>
  <si>
    <t>Market Value "Break Even"</t>
  </si>
  <si>
    <t>Total Municipal + School Equalized Property Tax Rate</t>
  </si>
  <si>
    <t>Percent of Total Parcels that are Residential</t>
  </si>
  <si>
    <t>Percent of Total Assessed Value that is Residential</t>
  </si>
  <si>
    <t>Average of Residential Parcels % and Assessed Value %</t>
  </si>
  <si>
    <t>Total Municipal Property Tax Levy</t>
  </si>
  <si>
    <t>Estimated Residential Share of Total Municipal Property Tax Levy</t>
  </si>
  <si>
    <t>2020 Municipal Population</t>
  </si>
  <si>
    <t>2020 Municipal Property Tax Supported Cost Per Person</t>
  </si>
  <si>
    <t>Total School Property Tax Levy</t>
  </si>
  <si>
    <t xml:space="preserve">2020 Total School Enrollment </t>
  </si>
  <si>
    <t>2020 School Property Tax Supported Cost Per Pupil</t>
  </si>
  <si>
    <t>Atlantic</t>
  </si>
  <si>
    <t>Pleasantville City</t>
  </si>
  <si>
    <t>Bergen</t>
  </si>
  <si>
    <t>New Milford Borough</t>
  </si>
  <si>
    <t>Essex</t>
  </si>
  <si>
    <t>Newark City</t>
  </si>
  <si>
    <t>Middlesex</t>
  </si>
  <si>
    <t>East Brunswick Township</t>
  </si>
  <si>
    <t>Old Bridge Township</t>
  </si>
  <si>
    <t>Middlesex Borough</t>
  </si>
  <si>
    <t>Sayreville Borough</t>
  </si>
  <si>
    <t>South River Borough</t>
  </si>
  <si>
    <t>Woodbridge Township</t>
  </si>
  <si>
    <t>Monmouth</t>
  </si>
  <si>
    <t>Keansburg Borough</t>
  </si>
  <si>
    <t>Manalapan Township</t>
  </si>
  <si>
    <t>Passaic</t>
  </si>
  <si>
    <t>Paterson City</t>
  </si>
  <si>
    <t>Pompton Lakes Borough</t>
  </si>
  <si>
    <t>Wayne Township</t>
  </si>
  <si>
    <t>Somerset</t>
  </si>
  <si>
    <t>Franklin Township</t>
  </si>
  <si>
    <t>Manville Borough</t>
  </si>
  <si>
    <t>Union</t>
  </si>
  <si>
    <t>Linden City</t>
  </si>
  <si>
    <t>Rahway City</t>
  </si>
  <si>
    <t>4-5 Bedroom Single Family Detached Municipal"Break Even Analysis"</t>
  </si>
  <si>
    <t>Municipal Fiscal Impact Analysis</t>
  </si>
  <si>
    <t>Municipal Equalized Property Tax Rate</t>
  </si>
  <si>
    <t>Hillsdale Borough</t>
  </si>
  <si>
    <t>Oakland Borough</t>
  </si>
  <si>
    <t>Westwood Borough</t>
  </si>
  <si>
    <t>Burlington</t>
  </si>
  <si>
    <t>Lumberton Township</t>
  </si>
  <si>
    <t>Medford Township</t>
  </si>
  <si>
    <t>Pemberton Township</t>
  </si>
  <si>
    <t>Southampton Township</t>
  </si>
  <si>
    <t>Cumberland</t>
  </si>
  <si>
    <t>Downe Township</t>
  </si>
  <si>
    <t>Fairfield Township</t>
  </si>
  <si>
    <t>Lawrence Township</t>
  </si>
  <si>
    <t>Hunterdon</t>
  </si>
  <si>
    <t>Lebanon Township</t>
  </si>
  <si>
    <t>Ocean Township</t>
  </si>
  <si>
    <t>Sea Bright Borough</t>
  </si>
  <si>
    <t>Morris</t>
  </si>
  <si>
    <t>Denville Township</t>
  </si>
  <si>
    <t>Lincoln Park Borough</t>
  </si>
  <si>
    <t>Little Falls Township</t>
  </si>
  <si>
    <t>Woodland Park Borough</t>
  </si>
  <si>
    <t>Bridgewater Township</t>
  </si>
  <si>
    <t>Warren</t>
  </si>
  <si>
    <t>Harmony Township</t>
  </si>
  <si>
    <t>2020 Break Even Analysis for Single Family Detached (3 Bedroom) in Selected NJ Communities</t>
  </si>
  <si>
    <t>Single Family Detached (3 Bedroom) Multipliers</t>
  </si>
  <si>
    <t>3 Bedroom Single Family Detached "Break Even Analysis"</t>
  </si>
  <si>
    <t>2020 Municipal Break Even Analysis for Single Family Detached (3 Bedroom) in Selected NJ Communities</t>
  </si>
  <si>
    <t>3 Bedroom Single Family Detached Municipal "Break Even Analysis"</t>
  </si>
  <si>
    <t>Municipal  Equalized Property Tax Rate</t>
  </si>
  <si>
    <t>2020 Break Even Analysis for Single Family Attached (2.5 Bedroom) in Selected NJ Communities</t>
  </si>
  <si>
    <t>Single Family Attached (2.5 Bedroom) Multipliers</t>
  </si>
  <si>
    <t>2.5 Bedroom Single Family Attached "Break Even Analysis"</t>
  </si>
  <si>
    <t xml:space="preserve"> </t>
  </si>
  <si>
    <t>2020 Municipal Break Even Analysis for Single Family Attached (2.5 Bedroom) in Selected NJ Communities</t>
  </si>
  <si>
    <t>2.5 Bedroom Single Family Attached Municipal "Break Even Analysis"</t>
  </si>
  <si>
    <t>Municipal Property Tax Rate</t>
  </si>
  <si>
    <t>$2,391.21</t>
  </si>
  <si>
    <t>2020 Break Even Analysis for Multifamily (Owned) (1.5 Bedroom) in Selected NJ Communities</t>
  </si>
  <si>
    <t>Multifamily (1.5 Bedroom) Multipliers</t>
  </si>
  <si>
    <t>1.5 Bedroom Multifamily "Break Even Analysis"</t>
  </si>
  <si>
    <t>2020 Municipal Break Even Analysis for Multifamily (Owned) (1.5 Bedroom) in Selected NJ Communities</t>
  </si>
  <si>
    <t>1.5 Bedroom Multifamily Municipal "Break Even Analysis"</t>
  </si>
  <si>
    <t>2020 Equalized Value Composition of Selected NJ Communities</t>
  </si>
  <si>
    <t xml:space="preserve">Location </t>
  </si>
  <si>
    <t>Property Tax Base: Equalized Value Composition</t>
  </si>
  <si>
    <t>Residential</t>
  </si>
  <si>
    <t>Nonresidential</t>
  </si>
  <si>
    <t>Other</t>
  </si>
  <si>
    <t>Total</t>
  </si>
  <si>
    <t>Apartment</t>
  </si>
  <si>
    <t>Subtotal</t>
  </si>
  <si>
    <t>Commerical</t>
  </si>
  <si>
    <t>Industrial</t>
  </si>
  <si>
    <t>Vacant</t>
  </si>
  <si>
    <t>Farm</t>
  </si>
  <si>
    <t>2020 Percent Breakdown of Equalized Value Composition for Selected NJ Communities</t>
  </si>
  <si>
    <t>Property Tax Base: % Breakdown of Equalized Value Composition</t>
  </si>
  <si>
    <t>Residential as a % of Total</t>
  </si>
  <si>
    <t>Apartment as a % of Total</t>
  </si>
  <si>
    <t>Residential and Apartment as a % of Total</t>
  </si>
  <si>
    <t>Commerical as a % of Total</t>
  </si>
  <si>
    <t>Industrial as a % of Total</t>
  </si>
  <si>
    <t>Commecial and Industrial as a % of Total</t>
  </si>
  <si>
    <t>Vacant as a % of Total</t>
  </si>
  <si>
    <t>Farm as a % of Total</t>
  </si>
  <si>
    <t>Vacant and Farm as a % of Total</t>
  </si>
  <si>
    <t>2020 Parcel Composition of Selected NJ Communities</t>
  </si>
  <si>
    <t>Property Tax Base: Parcel Composition</t>
  </si>
  <si>
    <t>Residential Parcels</t>
  </si>
  <si>
    <t>Nonresidential Parcels</t>
  </si>
  <si>
    <t>Other Parcels</t>
  </si>
  <si>
    <t>Total Parcels</t>
  </si>
  <si>
    <t>2020 Percent Breakdown of Parcel Composition for Selected NJ Communities</t>
  </si>
  <si>
    <t>Property Tax Base: % Breakdown of Parcel Composition</t>
  </si>
  <si>
    <t xml:space="preserve">Residential Parcels </t>
  </si>
  <si>
    <t>2020 Composition of the Local Equalized Property Tax Rate for Selected NJ Communities</t>
  </si>
  <si>
    <t xml:space="preserve">Equalized Property Tax Composition </t>
  </si>
  <si>
    <t>Municipal, School, &amp; County Total</t>
  </si>
  <si>
    <t>Municipal</t>
  </si>
  <si>
    <t xml:space="preserve">School </t>
  </si>
  <si>
    <t>2020 Percent Breakdown of Local Equalized Property Tax Rates for Selected NJ Communities</t>
  </si>
  <si>
    <t>% Breakdown of Equalized Property Tax Rate</t>
  </si>
  <si>
    <t>2020 Composition of Municipal Revenues for Selected NJ Communities</t>
  </si>
  <si>
    <t>Municipal Government Resources</t>
  </si>
  <si>
    <t>% Breakdown of Municipal Government Resources</t>
  </si>
  <si>
    <t>Municipal Budget (12Ciia)</t>
  </si>
  <si>
    <t>Municipal Open Space Budget (12Ciib)</t>
  </si>
  <si>
    <t>Municipal Library Budget (12Ciic)</t>
  </si>
  <si>
    <t>Total Municipal Levy (12Ciia + 12 Ciib + 12Ciic)</t>
  </si>
  <si>
    <t>Total of Miscellaneous Revenues (14D)</t>
  </si>
  <si>
    <t>Sum of Total Municipal Levy + Miscellaneous Revenues</t>
  </si>
  <si>
    <t>Total Municipal Levy as a % of Total</t>
  </si>
  <si>
    <t>Total Miscellaneous Revenues as a % of Total</t>
  </si>
  <si>
    <t xml:space="preserve">Total </t>
  </si>
  <si>
    <t>2020 School Levy, Municipal Levy, and Equalized Tax Rates for Selected NJ Communities</t>
  </si>
  <si>
    <t>Municipal and School Tax Levies</t>
  </si>
  <si>
    <t>Equalized Tax Rates</t>
  </si>
  <si>
    <t>District School (12Cia)</t>
  </si>
  <si>
    <t>Reg. Consol. &amp; Jont School (12Cib)</t>
  </si>
  <si>
    <t>Local School (12Cic)</t>
  </si>
  <si>
    <t>Equalization Ratio</t>
  </si>
  <si>
    <t>Municipal (EQ Tax Rate)</t>
  </si>
  <si>
    <t>School (EQ Tax Rate)</t>
  </si>
  <si>
    <t>Total Municipal + School (EQ Tax Rate)</t>
  </si>
  <si>
    <t>County (EQ Tax Rate)</t>
  </si>
  <si>
    <t>Total (EQ Tax Rate)</t>
  </si>
  <si>
    <t>2020 # and Value of Parcels of Selected NJ Communities</t>
  </si>
  <si>
    <t>Assessed Value and # of Residential Parcels</t>
  </si>
  <si>
    <t>Assessed Value and # of Commercial and Industrial Parcels</t>
  </si>
  <si>
    <t>Total # and Value of Developed Parcels</t>
  </si>
  <si>
    <t>Assessed Value and # of Other Parcels</t>
  </si>
  <si>
    <t># of Class 2 Parcels</t>
  </si>
  <si>
    <t>Value of Class 2 Parcels</t>
  </si>
  <si>
    <t># of Class 4C Parcels</t>
  </si>
  <si>
    <t>Value of Class 4C Parcels</t>
  </si>
  <si>
    <t>Total # of Residential Parcels</t>
  </si>
  <si>
    <t>Total Value of Residential Parcels</t>
  </si>
  <si>
    <t># of Class 4A Parcels</t>
  </si>
  <si>
    <t>Value of Class 4A Parcels</t>
  </si>
  <si>
    <t># of Class 4B Parcels</t>
  </si>
  <si>
    <t>Value of Class 4B Parcels</t>
  </si>
  <si>
    <t>Total # of Developed Non-Residential Parcels</t>
  </si>
  <si>
    <t>Total Value of Developed Non-Residential Parcels</t>
  </si>
  <si>
    <t xml:space="preserve">Total # of Developed Parcels (Class 2 + 4C + 4A + 4B) </t>
  </si>
  <si>
    <t>Total Value of Developed Parcels (Class 2 + 4C + 4A + 4B)</t>
  </si>
  <si>
    <t># of Farm Homestead Parcels</t>
  </si>
  <si>
    <t>Value of Farm Homestead Parcels</t>
  </si>
  <si>
    <t># of Farm Land Parcels</t>
  </si>
  <si>
    <t>Value of Farm Land  Parcels</t>
  </si>
  <si>
    <t># of Vacant Parcels</t>
  </si>
  <si>
    <t>Value of Vacant Parcels</t>
  </si>
  <si>
    <t>Total # of Other Parcels</t>
  </si>
  <si>
    <t>Total Value of Other Parcels</t>
  </si>
  <si>
    <t>2020 Break Even Analysis for Single Family Attached (2.0 Bedroom) in Selected NJ Communities</t>
  </si>
  <si>
    <t>Single Family Attached (2.0 Bedroom) Multipliers</t>
  </si>
  <si>
    <t>2020 Municipal Break Even Analysis for Single Family Attached (2.0 Bedroom) in Selected NJ Communities</t>
  </si>
  <si>
    <t>Average Real (2020) Market Value of Buyout Properties</t>
  </si>
  <si>
    <t>Fiscal Surplus or Deficit (Based on Average Buyout Market Value)</t>
  </si>
  <si>
    <t>Average 2020 Residential Value in Buyout Community</t>
  </si>
  <si>
    <t>Fiscal Surplus or Deficit (Based on Average Residential Value)</t>
  </si>
  <si>
    <t>Single Family Attached (3 Bedroom) Multipliers</t>
  </si>
  <si>
    <t>2020 Municipal Break Even Analysis for Single Family Attached (3 Bedroom) in Selected NJ Communities</t>
  </si>
  <si>
    <t>2020 Break Even Analysis for Single Family Attached (3 Bedroom) in Selected NJ Communities</t>
  </si>
  <si>
    <t>2020 Municipal Break Even Analysis for Multifamily (Owned) (1 Bedroom) in Selected NJ Communities</t>
  </si>
  <si>
    <t>2020 Break Even Analysis for Multifamily (Owned) (2 Bedroom) in Selected NJ Communities</t>
  </si>
  <si>
    <t>Adjusted Real (2020) Market Value of Buyout Properties</t>
  </si>
  <si>
    <t>Adjusted Average 2020 Residential Value in Buyout Community</t>
  </si>
  <si>
    <t>Adjusted Average Real (2020) Market Value of Buyout Properties</t>
  </si>
  <si>
    <t>Multifamily 2 Bedroom) Multipliers</t>
  </si>
  <si>
    <t>2 Bedroom Multifamily "Break Even Analysis"</t>
  </si>
  <si>
    <t>Camden</t>
  </si>
  <si>
    <t>Bellmawr</t>
  </si>
  <si>
    <t>Brooklawn</t>
  </si>
  <si>
    <t>Gloucester City</t>
  </si>
  <si>
    <t>Westville</t>
  </si>
  <si>
    <t>Gloucester</t>
  </si>
  <si>
    <t> Imputed Average (2023) Market Value of Potential Buyout Properties</t>
  </si>
  <si>
    <t>Average 2023 Residential Value in Buyout Community</t>
  </si>
  <si>
    <t>2022 Municipal Population</t>
  </si>
  <si>
    <t>2023 Municipal Property Tax Supported Cost Per Person</t>
  </si>
  <si>
    <t>2023 Municipal Fiscal Impact Break Even Analysis for Single Family Detached (4-5 Bedroom) in Selected NJ Communities</t>
  </si>
  <si>
    <t>2023 Municipal and School Fiscal Impact Break Even Analysis for Single Family Detached (4-5 Bedroom) in Selected NJ Communities</t>
  </si>
  <si>
    <t>Single Family Detached (4-5 Bedroom) with Revised Updated 2021 Multipliers</t>
  </si>
  <si>
    <t>Municipal Public Finance Data</t>
  </si>
  <si>
    <t>Municipal and School Public Finanace Data</t>
  </si>
  <si>
    <t>Mt Ephraim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</si>
</sst>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"/>
    <numFmt numFmtId="166" formatCode="&quot;$&quot;#,##0"/>
    <numFmt numFmtId="167" formatCode="0.000_)"/>
    <numFmt numFmtId="168" formatCode="0.0000_)"/>
    <numFmt numFmtId="169" formatCode="_(* #,##0_);_(* \(#,##0\);_(* &quot;-&quot;??_);_(@_)"/>
    <numFmt numFmtId="170" formatCode="_(&quot;$&quot;* #,##0_);_(&quot;$&quot;* \(#,##0\);_(&quot;$&quot;* &quot;-&quot;??_);_(@_)"/>
    <numFmt numFmtId="171" formatCode="0.0%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 Narrow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36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/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right"/>
    </xf>
    <xf numFmtId="0" fontId="8" fillId="0" borderId="0" xfId="0" applyFont="1"/>
    <xf numFmtId="0" fontId="10" fillId="0" borderId="17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166" fontId="10" fillId="0" borderId="0" xfId="0" applyNumberFormat="1" applyFont="1"/>
    <xf numFmtId="166" fontId="10" fillId="0" borderId="22" xfId="0" applyNumberFormat="1" applyFont="1" applyBorder="1"/>
    <xf numFmtId="166" fontId="10" fillId="0" borderId="29" xfId="0" applyNumberFormat="1" applyFont="1" applyBorder="1"/>
    <xf numFmtId="166" fontId="10" fillId="0" borderId="30" xfId="0" applyNumberFormat="1" applyFont="1" applyBorder="1"/>
    <xf numFmtId="166" fontId="10" fillId="0" borderId="18" xfId="0" applyNumberFormat="1" applyFont="1" applyBorder="1"/>
    <xf numFmtId="0" fontId="10" fillId="0" borderId="18" xfId="0" quotePrefix="1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166" fontId="10" fillId="0" borderId="19" xfId="0" applyNumberFormat="1" applyFont="1" applyBorder="1"/>
    <xf numFmtId="166" fontId="10" fillId="0" borderId="21" xfId="0" applyNumberFormat="1" applyFont="1" applyBorder="1"/>
    <xf numFmtId="166" fontId="10" fillId="0" borderId="20" xfId="0" applyNumberFormat="1" applyFont="1" applyBorder="1"/>
    <xf numFmtId="166" fontId="10" fillId="0" borderId="31" xfId="0" applyNumberFormat="1" applyFont="1" applyBorder="1"/>
    <xf numFmtId="10" fontId="10" fillId="0" borderId="0" xfId="0" applyNumberFormat="1" applyFont="1" applyAlignment="1">
      <alignment horizontal="right"/>
    </xf>
    <xf numFmtId="10" fontId="10" fillId="0" borderId="0" xfId="0" applyNumberFormat="1" applyFont="1"/>
    <xf numFmtId="10" fontId="10" fillId="0" borderId="22" xfId="0" applyNumberFormat="1" applyFont="1" applyBorder="1"/>
    <xf numFmtId="10" fontId="10" fillId="0" borderId="23" xfId="0" applyNumberFormat="1" applyFont="1" applyBorder="1"/>
    <xf numFmtId="10" fontId="10" fillId="0" borderId="29" xfId="0" applyNumberFormat="1" applyFont="1" applyBorder="1"/>
    <xf numFmtId="10" fontId="10" fillId="0" borderId="30" xfId="0" applyNumberFormat="1" applyFont="1" applyBorder="1"/>
    <xf numFmtId="10" fontId="10" fillId="0" borderId="18" xfId="0" applyNumberFormat="1" applyFont="1" applyBorder="1"/>
    <xf numFmtId="10" fontId="10" fillId="0" borderId="17" xfId="0" applyNumberFormat="1" applyFont="1" applyBorder="1"/>
    <xf numFmtId="10" fontId="10" fillId="0" borderId="19" xfId="0" applyNumberFormat="1" applyFont="1" applyBorder="1" applyAlignment="1">
      <alignment horizontal="right"/>
    </xf>
    <xf numFmtId="10" fontId="10" fillId="0" borderId="21" xfId="0" applyNumberFormat="1" applyFont="1" applyBorder="1"/>
    <xf numFmtId="10" fontId="10" fillId="0" borderId="20" xfId="0" applyNumberFormat="1" applyFont="1" applyBorder="1"/>
    <xf numFmtId="10" fontId="10" fillId="0" borderId="19" xfId="0" applyNumberFormat="1" applyFont="1" applyBorder="1"/>
    <xf numFmtId="10" fontId="10" fillId="0" borderId="31" xfId="0" applyNumberFormat="1" applyFont="1" applyBorder="1"/>
    <xf numFmtId="3" fontId="10" fillId="0" borderId="17" xfId="0" applyNumberFormat="1" applyFont="1" applyBorder="1"/>
    <xf numFmtId="3" fontId="10" fillId="0" borderId="0" xfId="0" applyNumberFormat="1" applyFont="1"/>
    <xf numFmtId="3" fontId="10" fillId="0" borderId="22" xfId="0" applyNumberFormat="1" applyFont="1" applyBorder="1"/>
    <xf numFmtId="3" fontId="6" fillId="0" borderId="0" xfId="0" applyNumberFormat="1" applyFont="1"/>
    <xf numFmtId="3" fontId="6" fillId="0" borderId="22" xfId="0" applyNumberFormat="1" applyFont="1" applyBorder="1"/>
    <xf numFmtId="3" fontId="10" fillId="0" borderId="32" xfId="0" applyNumberFormat="1" applyFont="1" applyBorder="1"/>
    <xf numFmtId="3" fontId="10" fillId="0" borderId="18" xfId="0" applyNumberFormat="1" applyFont="1" applyBorder="1"/>
    <xf numFmtId="3" fontId="6" fillId="0" borderId="18" xfId="0" applyNumberFormat="1" applyFont="1" applyBorder="1"/>
    <xf numFmtId="3" fontId="10" fillId="0" borderId="30" xfId="0" applyNumberFormat="1" applyFont="1" applyBorder="1"/>
    <xf numFmtId="3" fontId="10" fillId="0" borderId="19" xfId="0" applyNumberFormat="1" applyFont="1" applyBorder="1"/>
    <xf numFmtId="3" fontId="10" fillId="0" borderId="21" xfId="0" applyNumberFormat="1" applyFont="1" applyBorder="1"/>
    <xf numFmtId="3" fontId="10" fillId="0" borderId="20" xfId="0" applyNumberFormat="1" applyFont="1" applyBorder="1"/>
    <xf numFmtId="3" fontId="6" fillId="0" borderId="21" xfId="0" applyNumberFormat="1" applyFont="1" applyBorder="1"/>
    <xf numFmtId="3" fontId="6" fillId="0" borderId="20" xfId="0" applyNumberFormat="1" applyFont="1" applyBorder="1"/>
    <xf numFmtId="3" fontId="10" fillId="0" borderId="31" xfId="0" applyNumberFormat="1" applyFont="1" applyBorder="1"/>
    <xf numFmtId="0" fontId="4" fillId="0" borderId="26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167" fontId="6" fillId="0" borderId="18" xfId="0" applyNumberFormat="1" applyFont="1" applyBorder="1"/>
    <xf numFmtId="167" fontId="6" fillId="0" borderId="0" xfId="0" applyNumberFormat="1" applyFont="1"/>
    <xf numFmtId="167" fontId="6" fillId="0" borderId="22" xfId="0" applyNumberFormat="1" applyFont="1" applyBorder="1"/>
    <xf numFmtId="10" fontId="6" fillId="0" borderId="0" xfId="0" applyNumberFormat="1" applyFont="1"/>
    <xf numFmtId="167" fontId="6" fillId="0" borderId="20" xfId="0" applyNumberFormat="1" applyFont="1" applyBorder="1"/>
    <xf numFmtId="167" fontId="6" fillId="0" borderId="21" xfId="0" applyNumberFormat="1" applyFont="1" applyBorder="1"/>
    <xf numFmtId="10" fontId="6" fillId="0" borderId="32" xfId="0" applyNumberFormat="1" applyFont="1" applyBorder="1"/>
    <xf numFmtId="10" fontId="6" fillId="0" borderId="22" xfId="0" applyNumberFormat="1" applyFont="1" applyBorder="1"/>
    <xf numFmtId="10" fontId="6" fillId="0" borderId="30" xfId="0" applyNumberFormat="1" applyFont="1" applyBorder="1"/>
    <xf numFmtId="10" fontId="6" fillId="0" borderId="18" xfId="0" applyNumberFormat="1" applyFont="1" applyBorder="1"/>
    <xf numFmtId="10" fontId="6" fillId="0" borderId="31" xfId="0" applyNumberFormat="1" applyFont="1" applyBorder="1"/>
    <xf numFmtId="10" fontId="6" fillId="0" borderId="21" xfId="0" applyNumberFormat="1" applyFont="1" applyBorder="1"/>
    <xf numFmtId="10" fontId="6" fillId="0" borderId="20" xfId="0" applyNumberFormat="1" applyFont="1" applyBorder="1"/>
    <xf numFmtId="166" fontId="10" fillId="0" borderId="17" xfId="0" applyNumberFormat="1" applyFont="1" applyBorder="1"/>
    <xf numFmtId="168" fontId="6" fillId="0" borderId="17" xfId="0" applyNumberFormat="1" applyFont="1" applyBorder="1"/>
    <xf numFmtId="165" fontId="6" fillId="0" borderId="0" xfId="0" applyNumberFormat="1" applyFont="1"/>
    <xf numFmtId="165" fontId="6" fillId="0" borderId="18" xfId="0" applyNumberFormat="1" applyFont="1" applyBorder="1"/>
    <xf numFmtId="168" fontId="6" fillId="0" borderId="19" xfId="0" applyNumberFormat="1" applyFont="1" applyBorder="1"/>
    <xf numFmtId="165" fontId="6" fillId="0" borderId="21" xfId="0" applyNumberFormat="1" applyFont="1" applyBorder="1"/>
    <xf numFmtId="165" fontId="6" fillId="0" borderId="20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169" fontId="10" fillId="0" borderId="0" xfId="0" applyNumberFormat="1" applyFont="1"/>
    <xf numFmtId="169" fontId="6" fillId="0" borderId="0" xfId="0" applyNumberFormat="1" applyFont="1"/>
    <xf numFmtId="169" fontId="10" fillId="0" borderId="17" xfId="0" applyNumberFormat="1" applyFont="1" applyBorder="1"/>
    <xf numFmtId="168" fontId="6" fillId="0" borderId="0" xfId="0" applyNumberFormat="1" applyFont="1"/>
    <xf numFmtId="169" fontId="10" fillId="0" borderId="21" xfId="0" applyNumberFormat="1" applyFont="1" applyBorder="1"/>
    <xf numFmtId="169" fontId="6" fillId="0" borderId="21" xfId="0" applyNumberFormat="1" applyFont="1" applyBorder="1"/>
    <xf numFmtId="169" fontId="10" fillId="0" borderId="19" xfId="0" applyNumberFormat="1" applyFont="1" applyBorder="1"/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164" fontId="7" fillId="0" borderId="17" xfId="0" applyNumberFormat="1" applyFont="1" applyBorder="1" applyAlignment="1">
      <alignment horizontal="right"/>
    </xf>
    <xf numFmtId="166" fontId="11" fillId="0" borderId="0" xfId="0" applyNumberFormat="1" applyFont="1"/>
    <xf numFmtId="164" fontId="7" fillId="0" borderId="18" xfId="0" applyNumberFormat="1" applyFont="1" applyBorder="1" applyAlignment="1">
      <alignment horizontal="right"/>
    </xf>
    <xf numFmtId="165" fontId="7" fillId="0" borderId="17" xfId="0" applyNumberFormat="1" applyFont="1" applyBorder="1" applyAlignment="1">
      <alignment horizontal="right"/>
    </xf>
    <xf numFmtId="10" fontId="7" fillId="0" borderId="0" xfId="0" applyNumberFormat="1" applyFont="1"/>
    <xf numFmtId="166" fontId="7" fillId="0" borderId="0" xfId="0" applyNumberFormat="1" applyFont="1"/>
    <xf numFmtId="3" fontId="7" fillId="0" borderId="0" xfId="0" applyNumberFormat="1" applyFont="1"/>
    <xf numFmtId="164" fontId="7" fillId="0" borderId="18" xfId="0" applyNumberFormat="1" applyFont="1" applyBorder="1"/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164" fontId="7" fillId="0" borderId="19" xfId="0" applyNumberFormat="1" applyFont="1" applyBorder="1" applyAlignment="1">
      <alignment horizontal="right"/>
    </xf>
    <xf numFmtId="164" fontId="7" fillId="0" borderId="21" xfId="0" applyNumberFormat="1" applyFont="1" applyBorder="1" applyAlignment="1">
      <alignment horizontal="right"/>
    </xf>
    <xf numFmtId="164" fontId="7" fillId="0" borderId="20" xfId="0" applyNumberFormat="1" applyFont="1" applyBorder="1" applyAlignment="1">
      <alignment horizontal="right"/>
    </xf>
    <xf numFmtId="165" fontId="7" fillId="0" borderId="19" xfId="0" applyNumberFormat="1" applyFont="1" applyBorder="1" applyAlignment="1">
      <alignment horizontal="right"/>
    </xf>
    <xf numFmtId="10" fontId="7" fillId="0" borderId="21" xfId="0" applyNumberFormat="1" applyFont="1" applyBorder="1"/>
    <xf numFmtId="166" fontId="7" fillId="0" borderId="21" xfId="0" applyNumberFormat="1" applyFont="1" applyBorder="1"/>
    <xf numFmtId="3" fontId="7" fillId="0" borderId="21" xfId="0" applyNumberFormat="1" applyFont="1" applyBorder="1"/>
    <xf numFmtId="164" fontId="7" fillId="0" borderId="20" xfId="0" applyNumberFormat="1" applyFont="1" applyBorder="1"/>
    <xf numFmtId="170" fontId="12" fillId="0" borderId="0" xfId="2" applyNumberFormat="1" applyFont="1" applyFill="1"/>
    <xf numFmtId="164" fontId="0" fillId="0" borderId="0" xfId="0" applyNumberFormat="1"/>
    <xf numFmtId="167" fontId="7" fillId="0" borderId="0" xfId="0" applyNumberFormat="1" applyFont="1"/>
    <xf numFmtId="166" fontId="7" fillId="0" borderId="22" xfId="0" applyNumberFormat="1" applyFont="1" applyBorder="1"/>
    <xf numFmtId="166" fontId="7" fillId="0" borderId="18" xfId="0" applyNumberFormat="1" applyFont="1" applyBorder="1"/>
    <xf numFmtId="0" fontId="7" fillId="0" borderId="18" xfId="0" quotePrefix="1" applyFont="1" applyBorder="1" applyAlignment="1">
      <alignment horizontal="left"/>
    </xf>
    <xf numFmtId="167" fontId="7" fillId="0" borderId="21" xfId="0" applyNumberFormat="1" applyFont="1" applyBorder="1"/>
    <xf numFmtId="166" fontId="7" fillId="0" borderId="20" xfId="0" applyNumberFormat="1" applyFont="1" applyBorder="1"/>
    <xf numFmtId="164" fontId="9" fillId="0" borderId="0" xfId="0" applyNumberFormat="1" applyFont="1"/>
    <xf numFmtId="164" fontId="9" fillId="0" borderId="21" xfId="0" applyNumberFormat="1" applyFont="1" applyBorder="1"/>
    <xf numFmtId="166" fontId="4" fillId="0" borderId="7" xfId="0" applyNumberFormat="1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7" fillId="0" borderId="17" xfId="0" quotePrefix="1" applyFont="1" applyBorder="1" applyAlignment="1">
      <alignment horizontal="right"/>
    </xf>
    <xf numFmtId="164" fontId="9" fillId="0" borderId="18" xfId="0" applyNumberFormat="1" applyFont="1" applyBorder="1"/>
    <xf numFmtId="167" fontId="7" fillId="0" borderId="17" xfId="0" applyNumberFormat="1" applyFont="1" applyBorder="1"/>
    <xf numFmtId="164" fontId="9" fillId="0" borderId="20" xfId="0" applyNumberFormat="1" applyFont="1" applyBorder="1"/>
    <xf numFmtId="167" fontId="7" fillId="0" borderId="19" xfId="0" applyNumberFormat="1" applyFont="1" applyBorder="1"/>
    <xf numFmtId="0" fontId="13" fillId="0" borderId="17" xfId="0" applyFont="1" applyBorder="1" applyAlignment="1">
      <alignment horizontal="left"/>
    </xf>
    <xf numFmtId="0" fontId="13" fillId="0" borderId="18" xfId="0" quotePrefix="1" applyFont="1" applyBorder="1" applyAlignment="1">
      <alignment horizontal="left"/>
    </xf>
    <xf numFmtId="164" fontId="13" fillId="0" borderId="17" xfId="0" applyNumberFormat="1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164" fontId="13" fillId="0" borderId="18" xfId="0" applyNumberFormat="1" applyFont="1" applyBorder="1" applyAlignment="1">
      <alignment horizontal="right"/>
    </xf>
    <xf numFmtId="167" fontId="13" fillId="0" borderId="0" xfId="0" applyNumberFormat="1" applyFont="1"/>
    <xf numFmtId="10" fontId="13" fillId="0" borderId="0" xfId="0" applyNumberFormat="1" applyFont="1"/>
    <xf numFmtId="166" fontId="13" fillId="0" borderId="0" xfId="0" applyNumberFormat="1" applyFont="1"/>
    <xf numFmtId="3" fontId="13" fillId="0" borderId="0" xfId="0" applyNumberFormat="1" applyFont="1"/>
    <xf numFmtId="166" fontId="13" fillId="0" borderId="18" xfId="0" applyNumberFormat="1" applyFont="1" applyBorder="1"/>
    <xf numFmtId="170" fontId="13" fillId="0" borderId="17" xfId="2" applyNumberFormat="1" applyFont="1" applyBorder="1" applyAlignment="1">
      <alignment horizontal="right"/>
    </xf>
    <xf numFmtId="166" fontId="13" fillId="0" borderId="0" xfId="0" applyNumberFormat="1" applyFont="1" applyAlignment="1">
      <alignment horizontal="right"/>
    </xf>
    <xf numFmtId="0" fontId="5" fillId="0" borderId="12" xfId="0" applyFont="1" applyBorder="1"/>
    <xf numFmtId="165" fontId="0" fillId="0" borderId="0" xfId="0" applyNumberFormat="1"/>
    <xf numFmtId="166" fontId="7" fillId="0" borderId="19" xfId="0" applyNumberFormat="1" applyFont="1" applyBorder="1" applyAlignment="1">
      <alignment horizontal="right"/>
    </xf>
    <xf numFmtId="164" fontId="0" fillId="0" borderId="0" xfId="2" applyNumberFormat="1" applyFont="1"/>
    <xf numFmtId="10" fontId="0" fillId="0" borderId="0" xfId="4" applyNumberFormat="1" applyFont="1"/>
    <xf numFmtId="166" fontId="0" fillId="0" borderId="0" xfId="0" applyNumberFormat="1"/>
    <xf numFmtId="1" fontId="0" fillId="0" borderId="0" xfId="0" applyNumberFormat="1"/>
    <xf numFmtId="170" fontId="0" fillId="0" borderId="0" xfId="2" applyNumberFormat="1" applyFont="1"/>
    <xf numFmtId="169" fontId="0" fillId="0" borderId="0" xfId="3" applyNumberFormat="1" applyFont="1"/>
    <xf numFmtId="0" fontId="6" fillId="0" borderId="0" xfId="0" applyFont="1"/>
    <xf numFmtId="0" fontId="15" fillId="0" borderId="15" xfId="0" applyFont="1" applyBorder="1" applyAlignment="1">
      <alignment horizontal="center" vertical="center" wrapText="1"/>
    </xf>
    <xf numFmtId="0" fontId="1" fillId="0" borderId="0" xfId="0" applyFont="1"/>
    <xf numFmtId="0" fontId="4" fillId="0" borderId="35" xfId="0" applyFont="1" applyBorder="1" applyAlignment="1">
      <alignment horizontal="center" vertical="center" wrapText="1"/>
    </xf>
    <xf numFmtId="164" fontId="7" fillId="0" borderId="36" xfId="0" applyNumberFormat="1" applyFont="1" applyBorder="1" applyAlignment="1">
      <alignment horizontal="right"/>
    </xf>
    <xf numFmtId="164" fontId="1" fillId="0" borderId="37" xfId="0" applyNumberFormat="1" applyFont="1" applyBorder="1"/>
    <xf numFmtId="164" fontId="1" fillId="0" borderId="36" xfId="0" applyNumberFormat="1" applyFont="1" applyBorder="1"/>
    <xf numFmtId="166" fontId="7" fillId="0" borderId="37" xfId="0" applyNumberFormat="1" applyFont="1" applyBorder="1" applyAlignment="1">
      <alignment horizontal="right"/>
    </xf>
    <xf numFmtId="166" fontId="7" fillId="0" borderId="36" xfId="0" applyNumberFormat="1" applyFont="1" applyBorder="1" applyAlignment="1">
      <alignment horizontal="right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left"/>
    </xf>
    <xf numFmtId="166" fontId="7" fillId="0" borderId="0" xfId="0" applyNumberFormat="1" applyFont="1" applyAlignment="1">
      <alignment horizontal="right"/>
    </xf>
    <xf numFmtId="164" fontId="1" fillId="0" borderId="0" xfId="0" applyNumberFormat="1" applyFont="1"/>
    <xf numFmtId="171" fontId="1" fillId="0" borderId="0" xfId="4" applyNumberFormat="1" applyFont="1" applyBorder="1"/>
    <xf numFmtId="10" fontId="1" fillId="0" borderId="0" xfId="4" applyNumberFormat="1" applyFont="1" applyBorder="1"/>
    <xf numFmtId="0" fontId="14" fillId="0" borderId="0" xfId="0" applyFont="1"/>
    <xf numFmtId="0" fontId="14" fillId="0" borderId="46" xfId="0" applyFont="1" applyBorder="1"/>
    <xf numFmtId="6" fontId="0" fillId="0" borderId="46" xfId="0" applyNumberFormat="1" applyBorder="1"/>
    <xf numFmtId="0" fontId="7" fillId="0" borderId="47" xfId="0" applyFont="1" applyBorder="1" applyAlignment="1">
      <alignment horizontal="left"/>
    </xf>
    <xf numFmtId="166" fontId="7" fillId="0" borderId="49" xfId="0" applyNumberFormat="1" applyFont="1" applyBorder="1" applyAlignment="1">
      <alignment horizontal="right"/>
    </xf>
    <xf numFmtId="166" fontId="7" fillId="0" borderId="50" xfId="0" applyNumberFormat="1" applyFont="1" applyBorder="1" applyAlignment="1">
      <alignment horizontal="right"/>
    </xf>
    <xf numFmtId="164" fontId="1" fillId="0" borderId="49" xfId="0" applyNumberFormat="1" applyFont="1" applyBorder="1"/>
    <xf numFmtId="164" fontId="1" fillId="0" borderId="50" xfId="0" applyNumberFormat="1" applyFont="1" applyBorder="1"/>
    <xf numFmtId="0" fontId="1" fillId="0" borderId="49" xfId="0" applyFont="1" applyBorder="1"/>
    <xf numFmtId="171" fontId="1" fillId="0" borderId="49" xfId="4" applyNumberFormat="1" applyFont="1" applyBorder="1"/>
    <xf numFmtId="10" fontId="1" fillId="0" borderId="49" xfId="4" applyNumberFormat="1" applyFont="1" applyBorder="1"/>
    <xf numFmtId="166" fontId="7" fillId="0" borderId="49" xfId="0" applyNumberFormat="1" applyFont="1" applyBorder="1"/>
    <xf numFmtId="3" fontId="7" fillId="0" borderId="49" xfId="0" applyNumberFormat="1" applyFont="1" applyBorder="1"/>
    <xf numFmtId="0" fontId="14" fillId="0" borderId="49" xfId="0" applyFont="1" applyBorder="1"/>
    <xf numFmtId="0" fontId="14" fillId="0" borderId="51" xfId="0" applyFont="1" applyBorder="1"/>
    <xf numFmtId="0" fontId="4" fillId="0" borderId="57" xfId="0" applyFont="1" applyBorder="1" applyAlignment="1">
      <alignment horizontal="center" vertical="center" wrapText="1"/>
    </xf>
    <xf numFmtId="166" fontId="7" fillId="0" borderId="46" xfId="0" applyNumberFormat="1" applyFont="1" applyBorder="1"/>
    <xf numFmtId="164" fontId="7" fillId="0" borderId="50" xfId="0" applyNumberFormat="1" applyFont="1" applyBorder="1" applyAlignment="1">
      <alignment horizontal="right"/>
    </xf>
    <xf numFmtId="164" fontId="7" fillId="0" borderId="48" xfId="0" applyNumberFormat="1" applyFont="1" applyBorder="1" applyAlignment="1">
      <alignment horizontal="right"/>
    </xf>
    <xf numFmtId="164" fontId="0" fillId="0" borderId="49" xfId="0" applyNumberFormat="1" applyBorder="1"/>
    <xf numFmtId="167" fontId="7" fillId="0" borderId="49" xfId="0" applyNumberFormat="1" applyFont="1" applyBorder="1"/>
    <xf numFmtId="10" fontId="7" fillId="0" borderId="49" xfId="0" applyNumberFormat="1" applyFont="1" applyBorder="1"/>
    <xf numFmtId="166" fontId="7" fillId="0" borderId="51" xfId="0" applyNumberFormat="1" applyFont="1" applyBorder="1"/>
    <xf numFmtId="164" fontId="7" fillId="0" borderId="49" xfId="0" applyNumberFormat="1" applyFont="1" applyBorder="1" applyAlignment="1">
      <alignment horizontal="right"/>
    </xf>
    <xf numFmtId="0" fontId="4" fillId="0" borderId="4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58" xfId="0" applyFont="1" applyBorder="1" applyAlignment="1">
      <alignment horizontal="left"/>
    </xf>
    <xf numFmtId="0" fontId="7" fillId="0" borderId="59" xfId="0" applyFont="1" applyBorder="1" applyAlignment="1">
      <alignment horizontal="left"/>
    </xf>
    <xf numFmtId="0" fontId="7" fillId="0" borderId="46" xfId="0" applyFont="1" applyBorder="1" applyAlignment="1">
      <alignment horizontal="left"/>
    </xf>
    <xf numFmtId="0" fontId="7" fillId="0" borderId="51" xfId="0" applyFont="1" applyBorder="1" applyAlignment="1">
      <alignment horizontal="left"/>
    </xf>
    <xf numFmtId="0" fontId="4" fillId="0" borderId="58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5" fillId="0" borderId="2" xfId="0" applyFont="1" applyBorder="1"/>
    <xf numFmtId="0" fontId="4" fillId="0" borderId="24" xfId="0" applyFont="1" applyBorder="1" applyAlignment="1">
      <alignment horizontal="center" vertical="center"/>
    </xf>
    <xf numFmtId="0" fontId="5" fillId="0" borderId="25" xfId="0" applyFont="1" applyBorder="1"/>
    <xf numFmtId="0" fontId="5" fillId="0" borderId="29" xfId="0" applyFont="1" applyBorder="1"/>
    <xf numFmtId="0" fontId="4" fillId="0" borderId="52" xfId="0" applyFont="1" applyBorder="1" applyAlignment="1">
      <alignment horizontal="center" vertical="center"/>
    </xf>
    <xf numFmtId="0" fontId="5" fillId="0" borderId="53" xfId="0" applyFont="1" applyBorder="1"/>
    <xf numFmtId="0" fontId="4" fillId="0" borderId="54" xfId="0" applyFont="1" applyBorder="1" applyAlignment="1">
      <alignment horizontal="center" vertical="center" wrapText="1"/>
    </xf>
    <xf numFmtId="0" fontId="5" fillId="0" borderId="55" xfId="0" applyFont="1" applyBorder="1"/>
    <xf numFmtId="0" fontId="4" fillId="0" borderId="54" xfId="0" applyFont="1" applyBorder="1" applyAlignment="1">
      <alignment horizontal="center" vertical="center"/>
    </xf>
    <xf numFmtId="0" fontId="5" fillId="0" borderId="56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2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4" xfId="0" applyFont="1" applyBorder="1"/>
    <xf numFmtId="0" fontId="5" fillId="0" borderId="3" xfId="0" applyFont="1" applyBorder="1"/>
    <xf numFmtId="0" fontId="5" fillId="0" borderId="4" xfId="0" applyFont="1" applyBorder="1"/>
    <xf numFmtId="0" fontId="4" fillId="0" borderId="10" xfId="0" applyFont="1" applyBorder="1" applyAlignment="1">
      <alignment horizontal="center" vertical="center"/>
    </xf>
    <xf numFmtId="0" fontId="5" fillId="0" borderId="11" xfId="0" applyFont="1" applyBorder="1"/>
    <xf numFmtId="0" fontId="5" fillId="0" borderId="26" xfId="0" applyFont="1" applyBorder="1"/>
    <xf numFmtId="0" fontId="4" fillId="0" borderId="27" xfId="0" applyFont="1" applyBorder="1" applyAlignment="1">
      <alignment horizontal="center" vertical="center"/>
    </xf>
    <xf numFmtId="0" fontId="5" fillId="0" borderId="28" xfId="0" applyFont="1" applyBorder="1"/>
    <xf numFmtId="0" fontId="4" fillId="0" borderId="25" xfId="0" applyFont="1" applyBorder="1" applyAlignment="1">
      <alignment horizontal="center" vertical="center"/>
    </xf>
    <xf numFmtId="0" fontId="5" fillId="0" borderId="8" xfId="0" applyFont="1" applyBorder="1"/>
    <xf numFmtId="9" fontId="4" fillId="0" borderId="1" xfId="0" applyNumberFormat="1" applyFont="1" applyBorder="1" applyAlignment="1">
      <alignment horizontal="center" vertical="center" wrapText="1"/>
    </xf>
  </cellXfs>
  <cellStyles count="5">
    <cellStyle name="Comma" xfId="3" builtinId="3"/>
    <cellStyle name="Currency" xfId="2" builtinId="4"/>
    <cellStyle name="Normal" xfId="0" builtinId="0"/>
    <cellStyle name="Normal 2" xfId="1" xr:uid="{54A5EE4E-F9CD-4060-A9EA-E58C2FEEB296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sthu\AppData\Local\Temp\c1e6951b-4ed8-4136-95f5-687d23f5bebb_breakeven%20analysis--with%20Fairfield%20in%20Essex%20county.zip.ebb\SCHOOL%20AGE%20Updated%20FINAL%207.27%202020%20Fiscal%20Impact%20Analysis%20.xlsx" TargetMode="External"/><Relationship Id="rId1" Type="http://schemas.openxmlformats.org/officeDocument/2006/relationships/externalLinkPath" Target="file:///C:\Users\gsthu\AppData\Local\Temp\c1e6951b-4ed8-4136-95f5-687d23f5bebb_breakeven%20analysis--with%20Fairfield%20in%20Essex%20county.zip.ebb\SCHOOL%20AGE%20Updated%20FINAL%207.27%202020%20Fiscal%20Impact%20Analysis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SFD 4-5 Bed) Break Even"/>
      <sheetName val="(SFD 4-5 Bed) Muni Break Even"/>
      <sheetName val="(SFD 3 Bed) Break Even"/>
      <sheetName val="(SFD 3 Bed) Muni Break Even"/>
      <sheetName val=" (SFA 2.5 Bed) Break Even"/>
      <sheetName val="Adjusted (SFA 2.0 Bed) Break Ev"/>
      <sheetName val=" (SFA 2.5 Bed) Muni Break Even"/>
      <sheetName val="Adjusted (SFA 2.0 Bed) Muni Bre"/>
      <sheetName val="(1.5 Bed Multi) Break Even"/>
      <sheetName val="Adjusted(1.5 Bed Multi) Break E"/>
      <sheetName val="(1.5 Bed Multi) Muni Break Even"/>
      <sheetName val="Adjusted (1.5 Bed Multi) Muni B"/>
      <sheetName val="Property Tax Base - Equalized"/>
      <sheetName val="Property Tax Base - % Breakdown"/>
      <sheetName val="Property Tax Base - # Parcels"/>
      <sheetName val="Property Tax Base - % Parcels"/>
      <sheetName val="Composition of EQ Tax Rate"/>
      <sheetName val="% Breakdown of EQ Tax Rate"/>
      <sheetName val="Composition of Mun. Revenues"/>
      <sheetName val="Tax Levies and EQ Tax Rates"/>
      <sheetName val="# and Assessed Value of Parce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7">
          <cell r="I17">
            <v>15861222.08</v>
          </cell>
        </row>
      </sheetData>
      <sheetData sheetId="20" refreshError="1">
        <row r="17">
          <cell r="G17">
            <v>2585</v>
          </cell>
          <cell r="H17">
            <v>1397740600</v>
          </cell>
          <cell r="O17">
            <v>3276</v>
          </cell>
          <cell r="P17">
            <v>3147915400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ityofgloucester.or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ityofgloucester.org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Z997"/>
  <sheetViews>
    <sheetView tabSelected="1" zoomScale="90" zoomScaleNormal="9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B13" sqref="B13"/>
    </sheetView>
  </sheetViews>
  <sheetFormatPr defaultColWidth="14.42578125" defaultRowHeight="15" customHeight="1" x14ac:dyDescent="0.25"/>
  <cols>
    <col min="1" max="2" width="20.85546875" customWidth="1"/>
    <col min="3" max="21" width="15.85546875" customWidth="1"/>
    <col min="22" max="26" width="11.42578125" customWidth="1"/>
  </cols>
  <sheetData>
    <row r="1" spans="1:26" x14ac:dyDescent="0.25">
      <c r="A1" s="156" t="s">
        <v>216</v>
      </c>
    </row>
    <row r="3" spans="1:26" ht="30" customHeight="1" x14ac:dyDescent="0.25">
      <c r="A3" s="208" t="s">
        <v>217</v>
      </c>
      <c r="B3" s="209"/>
    </row>
    <row r="4" spans="1:26" x14ac:dyDescent="0.25">
      <c r="A4" s="2" t="s">
        <v>0</v>
      </c>
      <c r="B4" s="3" t="s">
        <v>1</v>
      </c>
    </row>
    <row r="5" spans="1:26" x14ac:dyDescent="0.25">
      <c r="A5" s="4" t="s">
        <v>2</v>
      </c>
      <c r="B5" s="5">
        <v>3.3690000000000002</v>
      </c>
    </row>
    <row r="6" spans="1:26" x14ac:dyDescent="0.25">
      <c r="A6" s="6" t="s">
        <v>3</v>
      </c>
      <c r="B6" s="7">
        <v>0.68300000000000005</v>
      </c>
    </row>
    <row r="7" spans="1:26" ht="15.75" thickBot="1" x14ac:dyDescent="0.3">
      <c r="A7" s="8"/>
      <c r="B7" s="8"/>
      <c r="G7" s="9"/>
      <c r="H7" s="9"/>
    </row>
    <row r="8" spans="1:26" ht="31.5" customHeight="1" thickBot="1" x14ac:dyDescent="0.3">
      <c r="A8" s="210" t="s">
        <v>4</v>
      </c>
      <c r="B8" s="211"/>
      <c r="C8" s="210" t="s">
        <v>5</v>
      </c>
      <c r="D8" s="212"/>
      <c r="E8" s="212"/>
      <c r="F8" s="212"/>
      <c r="G8" s="210" t="s">
        <v>6</v>
      </c>
      <c r="H8" s="212"/>
      <c r="I8" s="212"/>
      <c r="J8" s="211"/>
      <c r="K8" s="210" t="s">
        <v>219</v>
      </c>
      <c r="L8" s="212"/>
      <c r="M8" s="212"/>
      <c r="N8" s="212"/>
      <c r="O8" s="212"/>
      <c r="P8" s="212"/>
      <c r="Q8" s="212"/>
      <c r="R8" s="212"/>
      <c r="S8" s="212"/>
      <c r="T8" s="212"/>
      <c r="U8" s="211"/>
    </row>
    <row r="9" spans="1:26" ht="64.5" customHeight="1" thickBot="1" x14ac:dyDescent="0.3">
      <c r="A9" s="206" t="s">
        <v>8</v>
      </c>
      <c r="B9" s="207" t="s">
        <v>9</v>
      </c>
      <c r="C9" s="163" t="s">
        <v>10</v>
      </c>
      <c r="D9" s="164" t="s">
        <v>11</v>
      </c>
      <c r="E9" s="165" t="s">
        <v>12</v>
      </c>
      <c r="F9" s="164" t="s">
        <v>13</v>
      </c>
      <c r="G9" s="166" t="s">
        <v>211</v>
      </c>
      <c r="H9" s="166" t="s">
        <v>192</v>
      </c>
      <c r="I9" s="167" t="s">
        <v>212</v>
      </c>
      <c r="J9" s="168" t="s">
        <v>194</v>
      </c>
      <c r="K9" s="163" t="s">
        <v>14</v>
      </c>
      <c r="L9" s="169" t="s">
        <v>15</v>
      </c>
      <c r="M9" s="169" t="s">
        <v>16</v>
      </c>
      <c r="N9" s="169" t="s">
        <v>17</v>
      </c>
      <c r="O9" s="169" t="s">
        <v>18</v>
      </c>
      <c r="P9" s="169" t="s">
        <v>19</v>
      </c>
      <c r="Q9" s="169" t="s">
        <v>20</v>
      </c>
      <c r="R9" s="169" t="s">
        <v>21</v>
      </c>
      <c r="S9" s="169" t="s">
        <v>22</v>
      </c>
      <c r="T9" s="169" t="s">
        <v>23</v>
      </c>
      <c r="U9" s="170" t="s">
        <v>24</v>
      </c>
      <c r="V9" s="17"/>
      <c r="W9" s="17"/>
      <c r="X9" s="17"/>
      <c r="Y9" s="17"/>
      <c r="Z9" s="17"/>
    </row>
    <row r="10" spans="1:26" x14ac:dyDescent="0.25">
      <c r="A10" s="202" t="s">
        <v>205</v>
      </c>
      <c r="B10" s="203" t="s">
        <v>206</v>
      </c>
      <c r="C10" s="172">
        <f t="shared" ref="C10:C14" si="0">$B$5*R10</f>
        <v>2442.4749006082684</v>
      </c>
      <c r="D10" s="161">
        <f t="shared" ref="D10:D14" si="1">U10*$B$6</f>
        <v>0</v>
      </c>
      <c r="E10" s="172">
        <f t="shared" ref="E10:E14" si="2">C10+D10</f>
        <v>2442.4749006082684</v>
      </c>
      <c r="F10" s="161">
        <f t="shared" ref="F10:F14" si="3">E10/(K10/100)</f>
        <v>103626.42768808945</v>
      </c>
      <c r="G10" s="172">
        <v>129554</v>
      </c>
      <c r="H10" s="161">
        <f t="shared" ref="H10:H14" si="4">G10-F10</f>
        <v>25927.572311910553</v>
      </c>
      <c r="I10" s="173">
        <v>187760</v>
      </c>
      <c r="J10" s="159">
        <f t="shared" ref="J10:J14" si="5">I10-F10</f>
        <v>84133.572311910553</v>
      </c>
      <c r="K10" s="156">
        <v>2.3570000000000002</v>
      </c>
      <c r="L10" s="174">
        <v>0.95250000000000001</v>
      </c>
      <c r="M10" s="175">
        <v>0.77510000000000001</v>
      </c>
      <c r="N10" s="175">
        <f t="shared" ref="N10:N14" si="6">(L10+M10)/2</f>
        <v>0.86380000000000001</v>
      </c>
      <c r="O10" s="102">
        <v>9805512</v>
      </c>
      <c r="P10" s="102">
        <f t="shared" ref="P10:P14" si="7">N10*O10</f>
        <v>8470001.2655999996</v>
      </c>
      <c r="Q10" s="103">
        <v>11683</v>
      </c>
      <c r="R10" s="102">
        <f t="shared" ref="R10:R14" si="8">P10/Q10</f>
        <v>724.98512929898141</v>
      </c>
      <c r="S10" s="102"/>
      <c r="T10" s="176"/>
      <c r="U10" s="177"/>
    </row>
    <row r="11" spans="1:26" x14ac:dyDescent="0.25">
      <c r="A11" s="171" t="s">
        <v>205</v>
      </c>
      <c r="B11" s="204" t="s">
        <v>207</v>
      </c>
      <c r="C11" s="172">
        <f t="shared" si="0"/>
        <v>3357.7383924934388</v>
      </c>
      <c r="D11" s="162">
        <f t="shared" si="1"/>
        <v>4036.53</v>
      </c>
      <c r="E11" s="172">
        <f t="shared" si="2"/>
        <v>7394.268392493439</v>
      </c>
      <c r="F11" s="162">
        <f t="shared" si="3"/>
        <v>307966.19710509956</v>
      </c>
      <c r="G11" s="172">
        <v>94881</v>
      </c>
      <c r="H11" s="162">
        <f t="shared" si="4"/>
        <v>-213085.19710509956</v>
      </c>
      <c r="I11" s="173">
        <v>137509</v>
      </c>
      <c r="J11" s="160">
        <f t="shared" si="5"/>
        <v>-170457.19710509956</v>
      </c>
      <c r="K11" s="156">
        <v>2.4009999999999998</v>
      </c>
      <c r="L11" s="174">
        <v>0.91170000000000007</v>
      </c>
      <c r="M11" s="175">
        <v>0.6552</v>
      </c>
      <c r="N11" s="175">
        <f t="shared" si="6"/>
        <v>0.78344999999999998</v>
      </c>
      <c r="O11" s="102">
        <v>2297483</v>
      </c>
      <c r="P11" s="102">
        <f t="shared" si="7"/>
        <v>1799963.05635</v>
      </c>
      <c r="Q11" s="103">
        <v>1806</v>
      </c>
      <c r="R11" s="102">
        <f t="shared" si="8"/>
        <v>996.65728480066446</v>
      </c>
      <c r="S11" s="102">
        <v>1554520</v>
      </c>
      <c r="T11" s="141">
        <v>263</v>
      </c>
      <c r="U11" s="178">
        <v>5910</v>
      </c>
    </row>
    <row r="12" spans="1:26" x14ac:dyDescent="0.25">
      <c r="A12" s="171" t="s">
        <v>205</v>
      </c>
      <c r="B12" s="204" t="s">
        <v>208</v>
      </c>
      <c r="C12" s="172">
        <f t="shared" si="0"/>
        <v>3702.4247681183524</v>
      </c>
      <c r="D12" s="162">
        <f t="shared" si="1"/>
        <v>1921.9620000000002</v>
      </c>
      <c r="E12" s="172">
        <f t="shared" si="2"/>
        <v>5624.3867681183528</v>
      </c>
      <c r="F12" s="162">
        <f t="shared" si="3"/>
        <v>190141.54050433915</v>
      </c>
      <c r="G12" s="172">
        <v>94239</v>
      </c>
      <c r="H12" s="162">
        <f t="shared" si="4"/>
        <v>-95902.540504339151</v>
      </c>
      <c r="I12" s="173">
        <v>136578</v>
      </c>
      <c r="J12" s="160">
        <f t="shared" si="5"/>
        <v>-53563.540504339151</v>
      </c>
      <c r="K12" s="156">
        <v>2.9580000000000002</v>
      </c>
      <c r="L12" s="174">
        <v>0.93310000000000004</v>
      </c>
      <c r="M12" s="175">
        <v>0.78209999999999991</v>
      </c>
      <c r="N12" s="175">
        <f t="shared" si="6"/>
        <v>0.85759999999999992</v>
      </c>
      <c r="O12" s="102">
        <v>14690502</v>
      </c>
      <c r="P12" s="102">
        <f t="shared" si="7"/>
        <v>12598574.515199998</v>
      </c>
      <c r="Q12" s="103">
        <v>11464</v>
      </c>
      <c r="R12" s="102">
        <f t="shared" si="8"/>
        <v>1098.9684678297276</v>
      </c>
      <c r="S12" s="102">
        <v>26724337</v>
      </c>
      <c r="T12" s="141">
        <v>2390</v>
      </c>
      <c r="U12" s="178">
        <v>2814</v>
      </c>
    </row>
    <row r="13" spans="1:26" x14ac:dyDescent="0.25">
      <c r="A13" s="171" t="s">
        <v>205</v>
      </c>
      <c r="B13" s="204" t="s">
        <v>220</v>
      </c>
      <c r="C13" s="172">
        <f t="shared" si="0"/>
        <v>3062.625652806305</v>
      </c>
      <c r="D13" s="162">
        <f t="shared" si="1"/>
        <v>11261.987000000001</v>
      </c>
      <c r="E13" s="172">
        <f t="shared" si="2"/>
        <v>14324.612652806307</v>
      </c>
      <c r="F13" s="162">
        <f t="shared" si="3"/>
        <v>498941.57620363316</v>
      </c>
      <c r="G13" s="172">
        <v>133784</v>
      </c>
      <c r="H13" s="162">
        <f t="shared" si="4"/>
        <v>-365157.57620363316</v>
      </c>
      <c r="I13" s="173">
        <v>193890</v>
      </c>
      <c r="J13" s="160">
        <f t="shared" si="5"/>
        <v>-305051.57620363316</v>
      </c>
      <c r="K13" s="156">
        <v>2.871</v>
      </c>
      <c r="L13" s="174">
        <v>0.94599999999999995</v>
      </c>
      <c r="M13" s="175">
        <v>0.87590000000000001</v>
      </c>
      <c r="N13" s="175">
        <f t="shared" si="6"/>
        <v>0.91094999999999993</v>
      </c>
      <c r="O13" s="102">
        <v>4629379</v>
      </c>
      <c r="P13" s="102">
        <f t="shared" si="7"/>
        <v>4217132.8000499997</v>
      </c>
      <c r="Q13" s="103">
        <v>4639</v>
      </c>
      <c r="R13" s="102">
        <f t="shared" si="8"/>
        <v>909.06074586117688</v>
      </c>
      <c r="S13" s="102">
        <v>7090693</v>
      </c>
      <c r="T13" s="141">
        <v>430</v>
      </c>
      <c r="U13" s="178">
        <v>16489</v>
      </c>
    </row>
    <row r="14" spans="1:26" ht="15.75" thickBot="1" x14ac:dyDescent="0.3">
      <c r="A14" s="179" t="s">
        <v>210</v>
      </c>
      <c r="B14" s="205" t="s">
        <v>209</v>
      </c>
      <c r="C14" s="180">
        <f t="shared" si="0"/>
        <v>2181.3657264418216</v>
      </c>
      <c r="D14" s="181">
        <f t="shared" si="1"/>
        <v>0</v>
      </c>
      <c r="E14" s="180">
        <f t="shared" si="2"/>
        <v>2181.3657264418216</v>
      </c>
      <c r="F14" s="181">
        <f t="shared" si="3"/>
        <v>76085.306119351982</v>
      </c>
      <c r="G14" s="180">
        <v>113598</v>
      </c>
      <c r="H14" s="181">
        <f t="shared" si="4"/>
        <v>37512.693880648018</v>
      </c>
      <c r="I14" s="182">
        <v>164635</v>
      </c>
      <c r="J14" s="183">
        <f t="shared" si="5"/>
        <v>88549.693880648018</v>
      </c>
      <c r="K14" s="184">
        <v>2.867</v>
      </c>
      <c r="L14" s="185">
        <v>0.86260000000000003</v>
      </c>
      <c r="M14" s="186">
        <v>0.80700000000000005</v>
      </c>
      <c r="N14" s="186">
        <f t="shared" si="6"/>
        <v>0.83479999999999999</v>
      </c>
      <c r="O14" s="187">
        <v>3338238</v>
      </c>
      <c r="P14" s="187">
        <f t="shared" si="7"/>
        <v>2786761.0823999997</v>
      </c>
      <c r="Q14" s="188">
        <v>4304</v>
      </c>
      <c r="R14" s="187">
        <f t="shared" si="8"/>
        <v>647.48166412639398</v>
      </c>
      <c r="S14" s="187"/>
      <c r="T14" s="189"/>
      <c r="U14" s="190"/>
    </row>
    <row r="15" spans="1:26" x14ac:dyDescent="0.25"/>
    <row r="16" spans="1:26" x14ac:dyDescent="0.25"/>
    <row r="17" x14ac:dyDescent="0.25"/>
    <row r="18" x14ac:dyDescent="0.25"/>
    <row r="19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5">
    <mergeCell ref="A3:B3"/>
    <mergeCell ref="A8:B8"/>
    <mergeCell ref="C8:F8"/>
    <mergeCell ref="G8:J8"/>
    <mergeCell ref="K8:U8"/>
  </mergeCells>
  <hyperlinks>
    <hyperlink ref="B12" r:id="rId1" display="http://www.cityofgloucester.org/" xr:uid="{9EC770D9-0357-445B-A621-9223621B927D}"/>
  </hyperlinks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Z967"/>
  <sheetViews>
    <sheetView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B13" sqref="B13"/>
    </sheetView>
  </sheetViews>
  <sheetFormatPr defaultColWidth="14.42578125" defaultRowHeight="15" customHeight="1" x14ac:dyDescent="0.25"/>
  <cols>
    <col min="1" max="2" width="20.85546875" customWidth="1"/>
    <col min="3" max="16" width="15.85546875" customWidth="1"/>
    <col min="17" max="26" width="11.42578125" customWidth="1"/>
  </cols>
  <sheetData>
    <row r="1" spans="1:26" x14ac:dyDescent="0.25">
      <c r="A1" s="156" t="s">
        <v>215</v>
      </c>
    </row>
    <row r="3" spans="1:26" ht="30" customHeight="1" x14ac:dyDescent="0.25">
      <c r="A3" s="208" t="s">
        <v>217</v>
      </c>
      <c r="B3" s="209"/>
    </row>
    <row r="4" spans="1:26" x14ac:dyDescent="0.25">
      <c r="A4" s="2" t="s">
        <v>0</v>
      </c>
      <c r="B4" s="3" t="s">
        <v>1</v>
      </c>
    </row>
    <row r="5" spans="1:26" x14ac:dyDescent="0.25">
      <c r="A5" s="4" t="s">
        <v>2</v>
      </c>
      <c r="B5" s="5">
        <v>3.3690000000000002</v>
      </c>
    </row>
    <row r="6" spans="1:26" x14ac:dyDescent="0.25">
      <c r="A6" s="6" t="s">
        <v>3</v>
      </c>
      <c r="B6" s="7">
        <v>0.68300000000000005</v>
      </c>
    </row>
    <row r="7" spans="1:26" ht="15.75" thickBot="1" x14ac:dyDescent="0.3">
      <c r="A7" s="8"/>
      <c r="B7" s="8"/>
    </row>
    <row r="8" spans="1:26" ht="31.5" customHeight="1" x14ac:dyDescent="0.25">
      <c r="A8" s="213" t="s">
        <v>4</v>
      </c>
      <c r="B8" s="214"/>
      <c r="C8" s="215" t="s">
        <v>51</v>
      </c>
      <c r="D8" s="216"/>
      <c r="E8" s="217" t="s">
        <v>6</v>
      </c>
      <c r="F8" s="216"/>
      <c r="G8" s="216"/>
      <c r="H8" s="214"/>
      <c r="I8" s="217" t="s">
        <v>218</v>
      </c>
      <c r="J8" s="216"/>
      <c r="K8" s="216"/>
      <c r="L8" s="216"/>
      <c r="M8" s="216"/>
      <c r="N8" s="216"/>
      <c r="O8" s="216"/>
      <c r="P8" s="218"/>
    </row>
    <row r="9" spans="1:26" ht="64.5" customHeight="1" thickBot="1" x14ac:dyDescent="0.3">
      <c r="A9" s="200" t="s">
        <v>8</v>
      </c>
      <c r="B9" s="201" t="s">
        <v>9</v>
      </c>
      <c r="C9" s="11" t="s">
        <v>10</v>
      </c>
      <c r="D9" s="157" t="s">
        <v>13</v>
      </c>
      <c r="E9" s="94" t="s">
        <v>211</v>
      </c>
      <c r="F9" s="94" t="s">
        <v>192</v>
      </c>
      <c r="G9" s="155" t="s">
        <v>212</v>
      </c>
      <c r="H9" s="15" t="s">
        <v>194</v>
      </c>
      <c r="I9" s="11" t="s">
        <v>53</v>
      </c>
      <c r="J9" s="12" t="s">
        <v>15</v>
      </c>
      <c r="K9" s="12" t="s">
        <v>16</v>
      </c>
      <c r="L9" s="12" t="s">
        <v>17</v>
      </c>
      <c r="M9" s="12" t="s">
        <v>18</v>
      </c>
      <c r="N9" s="12" t="s">
        <v>19</v>
      </c>
      <c r="O9" s="12" t="s">
        <v>213</v>
      </c>
      <c r="P9" s="191" t="s">
        <v>214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25">
      <c r="A10" s="202" t="s">
        <v>205</v>
      </c>
      <c r="B10" s="203" t="s">
        <v>206</v>
      </c>
      <c r="C10" s="18">
        <f t="shared" ref="C10:C14" si="0">$B$5*P10</f>
        <v>2442.4749006082684</v>
      </c>
      <c r="D10" s="158">
        <f t="shared" ref="D10:D14" si="1">C10/(I10/100)</f>
        <v>253106.20731691903</v>
      </c>
      <c r="E10" s="172">
        <v>129554</v>
      </c>
      <c r="F10" s="99">
        <f t="shared" ref="F10:F14" si="2">E10-D10</f>
        <v>-123552.20731691903</v>
      </c>
      <c r="G10" s="116">
        <v>187760</v>
      </c>
      <c r="H10" s="99">
        <f t="shared" ref="H10:H14" si="3">G10-D10</f>
        <v>-65346.207316919026</v>
      </c>
      <c r="I10" s="117">
        <v>0.96499999999999997</v>
      </c>
      <c r="J10" s="101">
        <v>0.95250000000000001</v>
      </c>
      <c r="K10" s="101">
        <v>0.77510000000000001</v>
      </c>
      <c r="L10" s="102">
        <f t="shared" ref="L10:L14" si="4">(J10+K10)/2</f>
        <v>0.86380000000000001</v>
      </c>
      <c r="M10" s="102">
        <v>9805512</v>
      </c>
      <c r="N10" s="102">
        <f t="shared" ref="N10:N14" si="5">L10*M10</f>
        <v>8470001.2655999996</v>
      </c>
      <c r="O10" s="103">
        <v>11683</v>
      </c>
      <c r="P10" s="192">
        <f t="shared" ref="P10:P14" si="6">N10/O10</f>
        <v>724.98512929898141</v>
      </c>
    </row>
    <row r="11" spans="1:26" ht="15.75" customHeight="1" x14ac:dyDescent="0.25">
      <c r="A11" s="171" t="s">
        <v>205</v>
      </c>
      <c r="B11" s="204" t="s">
        <v>207</v>
      </c>
      <c r="C11" s="18">
        <f t="shared" si="0"/>
        <v>3357.7383924934388</v>
      </c>
      <c r="D11" s="158">
        <f t="shared" si="1"/>
        <v>234478.93802328483</v>
      </c>
      <c r="E11" s="172">
        <v>94881</v>
      </c>
      <c r="F11" s="99">
        <f t="shared" si="2"/>
        <v>-139597.93802328483</v>
      </c>
      <c r="G11" s="116">
        <v>137509</v>
      </c>
      <c r="H11" s="99">
        <f t="shared" si="3"/>
        <v>-96969.938023284834</v>
      </c>
      <c r="I11" s="117">
        <v>1.4319999999999999</v>
      </c>
      <c r="J11" s="101">
        <v>0.91169999999999995</v>
      </c>
      <c r="K11" s="101">
        <v>0.6552</v>
      </c>
      <c r="L11" s="102">
        <f t="shared" si="4"/>
        <v>0.78344999999999998</v>
      </c>
      <c r="M11" s="102">
        <v>2297483</v>
      </c>
      <c r="N11" s="102">
        <f t="shared" si="5"/>
        <v>1799963.05635</v>
      </c>
      <c r="O11" s="103">
        <v>1806</v>
      </c>
      <c r="P11" s="192">
        <f t="shared" si="6"/>
        <v>996.65728480066446</v>
      </c>
    </row>
    <row r="12" spans="1:26" ht="15.75" customHeight="1" x14ac:dyDescent="0.25">
      <c r="A12" s="171" t="s">
        <v>205</v>
      </c>
      <c r="B12" s="204" t="s">
        <v>208</v>
      </c>
      <c r="C12" s="18">
        <f t="shared" si="0"/>
        <v>3702.4247681183533</v>
      </c>
      <c r="D12" s="158">
        <f t="shared" si="1"/>
        <v>179816.64731026485</v>
      </c>
      <c r="E12" s="172">
        <v>94239</v>
      </c>
      <c r="F12" s="99">
        <f t="shared" si="2"/>
        <v>-85577.647310264845</v>
      </c>
      <c r="G12" s="116">
        <v>136578</v>
      </c>
      <c r="H12" s="99">
        <f t="shared" si="3"/>
        <v>-43238.647310264845</v>
      </c>
      <c r="I12" s="117">
        <v>2.0590000000000002</v>
      </c>
      <c r="J12" s="101">
        <v>0.93310000000000004</v>
      </c>
      <c r="K12" s="101">
        <v>0.78210000000000002</v>
      </c>
      <c r="L12" s="102">
        <f t="shared" si="4"/>
        <v>0.85760000000000003</v>
      </c>
      <c r="M12" s="102">
        <v>14690502</v>
      </c>
      <c r="N12" s="102">
        <f t="shared" si="5"/>
        <v>12598574.5152</v>
      </c>
      <c r="O12" s="103">
        <v>11464</v>
      </c>
      <c r="P12" s="192">
        <f t="shared" si="6"/>
        <v>1098.9684678297278</v>
      </c>
    </row>
    <row r="13" spans="1:26" ht="15.75" customHeight="1" x14ac:dyDescent="0.25">
      <c r="A13" s="171" t="s">
        <v>205</v>
      </c>
      <c r="B13" s="204" t="s">
        <v>220</v>
      </c>
      <c r="C13" s="18">
        <f t="shared" si="0"/>
        <v>3062.625652806305</v>
      </c>
      <c r="D13" s="158">
        <f t="shared" si="1"/>
        <v>270072.80888944492</v>
      </c>
      <c r="E13" s="172">
        <v>133784</v>
      </c>
      <c r="F13" s="99">
        <f t="shared" si="2"/>
        <v>-136288.80888944492</v>
      </c>
      <c r="G13" s="116">
        <v>193890</v>
      </c>
      <c r="H13" s="99">
        <f t="shared" si="3"/>
        <v>-76182.808889444917</v>
      </c>
      <c r="I13" s="117">
        <v>1.1339999999999999</v>
      </c>
      <c r="J13" s="101">
        <v>0.94599999999999995</v>
      </c>
      <c r="K13" s="101">
        <v>0.87590000000000001</v>
      </c>
      <c r="L13" s="102">
        <f t="shared" si="4"/>
        <v>0.91094999999999993</v>
      </c>
      <c r="M13" s="102">
        <v>4629379</v>
      </c>
      <c r="N13" s="102">
        <f t="shared" si="5"/>
        <v>4217132.8000499997</v>
      </c>
      <c r="O13" s="103">
        <v>4639</v>
      </c>
      <c r="P13" s="192">
        <f t="shared" si="6"/>
        <v>909.06074586117688</v>
      </c>
    </row>
    <row r="14" spans="1:26" ht="15.75" customHeight="1" thickBot="1" x14ac:dyDescent="0.3">
      <c r="A14" s="179" t="s">
        <v>210</v>
      </c>
      <c r="B14" s="205" t="s">
        <v>209</v>
      </c>
      <c r="C14" s="199">
        <f t="shared" si="0"/>
        <v>2181.3657264418216</v>
      </c>
      <c r="D14" s="193">
        <f t="shared" si="1"/>
        <v>219895.738552603</v>
      </c>
      <c r="E14" s="180">
        <v>113598</v>
      </c>
      <c r="F14" s="194">
        <f t="shared" si="2"/>
        <v>-106297.738552603</v>
      </c>
      <c r="G14" s="195">
        <v>164635</v>
      </c>
      <c r="H14" s="194">
        <f t="shared" si="3"/>
        <v>-55260.738552602998</v>
      </c>
      <c r="I14" s="196">
        <v>0.99199999999999999</v>
      </c>
      <c r="J14" s="197">
        <v>0.86260000000000003</v>
      </c>
      <c r="K14" s="197">
        <v>0.80700000000000005</v>
      </c>
      <c r="L14" s="187">
        <f t="shared" si="4"/>
        <v>0.83479999999999999</v>
      </c>
      <c r="M14" s="187">
        <v>3338238</v>
      </c>
      <c r="N14" s="187">
        <f t="shared" si="5"/>
        <v>2786761.0823999997</v>
      </c>
      <c r="O14" s="188">
        <v>4304</v>
      </c>
      <c r="P14" s="198">
        <f t="shared" si="6"/>
        <v>647.48166412639398</v>
      </c>
    </row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</sheetData>
  <mergeCells count="5">
    <mergeCell ref="A3:B3"/>
    <mergeCell ref="A8:B8"/>
    <mergeCell ref="C8:D8"/>
    <mergeCell ref="E8:H8"/>
    <mergeCell ref="I8:P8"/>
  </mergeCells>
  <hyperlinks>
    <hyperlink ref="B12" r:id="rId1" display="http://www.cityofgloucester.org/" xr:uid="{177B2E99-AD8B-4567-8CF9-782A2BF780D7}"/>
  </hyperlinks>
  <pageMargins left="0.7" right="0.7" top="0.75" bottom="0.75" header="0" footer="0"/>
  <pageSetup fitToHeight="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pane xSplit="2" ySplit="9" topLeftCell="C19" activePane="bottomRight" state="frozen"/>
      <selection pane="topRight" activeCell="C1" sqref="C1"/>
      <selection pane="bottomLeft" activeCell="A10" sqref="A10"/>
      <selection pane="bottomRight" activeCell="C28" sqref="C28"/>
    </sheetView>
  </sheetViews>
  <sheetFormatPr defaultColWidth="14.42578125" defaultRowHeight="15" customHeight="1" x14ac:dyDescent="0.25"/>
  <cols>
    <col min="1" max="2" width="20.85546875" customWidth="1"/>
    <col min="3" max="21" width="15.85546875" customWidth="1"/>
    <col min="22" max="26" width="11.42578125" customWidth="1"/>
  </cols>
  <sheetData>
    <row r="1" spans="1:26" x14ac:dyDescent="0.25">
      <c r="A1" s="1" t="s">
        <v>78</v>
      </c>
    </row>
    <row r="3" spans="1:26" x14ac:dyDescent="0.25">
      <c r="A3" s="219" t="s">
        <v>79</v>
      </c>
      <c r="B3" s="209"/>
    </row>
    <row r="4" spans="1:26" x14ac:dyDescent="0.25">
      <c r="A4" s="2" t="s">
        <v>0</v>
      </c>
      <c r="B4" s="3" t="s">
        <v>1</v>
      </c>
    </row>
    <row r="5" spans="1:26" x14ac:dyDescent="0.25">
      <c r="A5" s="4" t="s">
        <v>2</v>
      </c>
      <c r="B5" s="5">
        <v>2.7570000000000001</v>
      </c>
    </row>
    <row r="6" spans="1:26" x14ac:dyDescent="0.25">
      <c r="A6" s="6" t="s">
        <v>3</v>
      </c>
      <c r="B6" s="7">
        <v>0.42499999999999999</v>
      </c>
    </row>
    <row r="7" spans="1:26" x14ac:dyDescent="0.25">
      <c r="A7" s="8"/>
      <c r="B7" s="8"/>
    </row>
    <row r="8" spans="1:26" ht="31.5" customHeight="1" x14ac:dyDescent="0.25">
      <c r="A8" s="220" t="s">
        <v>4</v>
      </c>
      <c r="B8" s="209"/>
      <c r="C8" s="220" t="s">
        <v>80</v>
      </c>
      <c r="D8" s="221"/>
      <c r="E8" s="221"/>
      <c r="F8" s="221"/>
      <c r="G8" s="220" t="s">
        <v>6</v>
      </c>
      <c r="H8" s="221"/>
      <c r="I8" s="221"/>
      <c r="J8" s="209"/>
      <c r="K8" s="220" t="s">
        <v>7</v>
      </c>
      <c r="L8" s="221"/>
      <c r="M8" s="221"/>
      <c r="N8" s="221"/>
      <c r="O8" s="221"/>
      <c r="P8" s="221"/>
      <c r="Q8" s="221"/>
      <c r="R8" s="221"/>
      <c r="S8" s="221"/>
      <c r="T8" s="221"/>
      <c r="U8" s="209"/>
    </row>
    <row r="9" spans="1:26" ht="64.5" customHeight="1" x14ac:dyDescent="0.25">
      <c r="A9" s="93" t="s">
        <v>8</v>
      </c>
      <c r="B9" s="10" t="s">
        <v>9</v>
      </c>
      <c r="C9" s="11" t="s">
        <v>10</v>
      </c>
      <c r="D9" s="12" t="s">
        <v>11</v>
      </c>
      <c r="E9" s="12" t="s">
        <v>12</v>
      </c>
      <c r="F9" s="12" t="s">
        <v>13</v>
      </c>
      <c r="G9" s="13" t="s">
        <v>191</v>
      </c>
      <c r="H9" s="94" t="s">
        <v>192</v>
      </c>
      <c r="I9" s="14" t="s">
        <v>193</v>
      </c>
      <c r="J9" s="15" t="s">
        <v>194</v>
      </c>
      <c r="K9" s="11" t="s">
        <v>14</v>
      </c>
      <c r="L9" s="12" t="s">
        <v>15</v>
      </c>
      <c r="M9" s="12" t="s">
        <v>16</v>
      </c>
      <c r="N9" s="12" t="s">
        <v>17</v>
      </c>
      <c r="O9" s="12" t="s">
        <v>18</v>
      </c>
      <c r="P9" s="12" t="s">
        <v>19</v>
      </c>
      <c r="Q9" s="12" t="s">
        <v>20</v>
      </c>
      <c r="R9" s="12" t="s">
        <v>21</v>
      </c>
      <c r="S9" s="12" t="s">
        <v>22</v>
      </c>
      <c r="T9" s="12" t="s">
        <v>23</v>
      </c>
      <c r="U9" s="16" t="s">
        <v>24</v>
      </c>
      <c r="V9" s="17"/>
      <c r="W9" s="17"/>
      <c r="X9" s="17"/>
      <c r="Y9" s="17"/>
      <c r="Z9" s="17"/>
    </row>
    <row r="10" spans="1:26" ht="15.75" x14ac:dyDescent="0.25">
      <c r="A10" s="95" t="s">
        <v>25</v>
      </c>
      <c r="B10" s="96" t="s">
        <v>26</v>
      </c>
      <c r="C10" s="97">
        <f t="shared" ref="C10:C27" si="0">$B$5*R10</f>
        <v>2629.6625471247303</v>
      </c>
      <c r="D10" s="18">
        <f t="shared" ref="D10:D27" si="1">U10*$B$6</f>
        <v>988.24161704076948</v>
      </c>
      <c r="E10" s="18">
        <f t="shared" ref="E10:E27" si="2">C10+D10</f>
        <v>3617.9041641654999</v>
      </c>
      <c r="F10" s="18">
        <f t="shared" ref="F10:F27" si="3">E10/(K10/100)</f>
        <v>82783.394048034039</v>
      </c>
      <c r="G10" s="98">
        <v>60235</v>
      </c>
      <c r="H10" s="99">
        <f t="shared" ref="H10:H27" si="4">G10-F10</f>
        <v>-22548.394048034039</v>
      </c>
      <c r="I10" s="18">
        <v>98362.768360435992</v>
      </c>
      <c r="J10" s="99">
        <f t="shared" ref="J10:J27" si="5">I10-F10</f>
        <v>15579.374312401953</v>
      </c>
      <c r="K10" s="100">
        <f>'Tax Levies and EQ Tax Rates'!O5</f>
        <v>4.3703259642462298</v>
      </c>
      <c r="L10" s="101">
        <f>'# and Assessed Value of Parcels'!G5/'# and Assessed Value of Parcels'!O5</f>
        <v>0.92172812725958064</v>
      </c>
      <c r="M10" s="101">
        <f>'# and Assessed Value of Parcels'!H5/'# and Assessed Value of Parcels'!P5</f>
        <v>0.73101366343961027</v>
      </c>
      <c r="N10" s="101">
        <f t="shared" ref="N10:N27" si="6">(L10+M10)/2</f>
        <v>0.8263708953495954</v>
      </c>
      <c r="O10" s="102">
        <f>'Tax Levies and EQ Tax Rates'!I5</f>
        <v>23810385</v>
      </c>
      <c r="P10" s="102">
        <f t="shared" ref="P10:P27" si="7">N10*O10</f>
        <v>19676209.171068575</v>
      </c>
      <c r="Q10" s="103">
        <v>20629</v>
      </c>
      <c r="R10" s="102">
        <f t="shared" ref="R10:R27" si="8">P10/Q10</f>
        <v>953.81303849282926</v>
      </c>
      <c r="S10" s="102">
        <f>'Tax Levies and EQ Tax Rates'!C5</f>
        <v>10152148</v>
      </c>
      <c r="T10" s="103">
        <v>4366</v>
      </c>
      <c r="U10" s="104">
        <f t="shared" ref="U10:U27" si="9">S10/T10</f>
        <v>2325.2743930371048</v>
      </c>
    </row>
    <row r="11" spans="1:26" ht="15.75" x14ac:dyDescent="0.25">
      <c r="A11" s="95" t="s">
        <v>27</v>
      </c>
      <c r="B11" s="96" t="s">
        <v>28</v>
      </c>
      <c r="C11" s="97">
        <f t="shared" si="0"/>
        <v>2706.2841442019235</v>
      </c>
      <c r="D11" s="18">
        <f t="shared" si="1"/>
        <v>6563.9318689745833</v>
      </c>
      <c r="E11" s="18">
        <f t="shared" si="2"/>
        <v>9270.2160131765067</v>
      </c>
      <c r="F11" s="18">
        <f t="shared" si="3"/>
        <v>365033.90498576011</v>
      </c>
      <c r="G11" s="98">
        <v>373724</v>
      </c>
      <c r="H11" s="99">
        <f t="shared" si="4"/>
        <v>8690.0950142398942</v>
      </c>
      <c r="I11" s="18">
        <v>426888.09</v>
      </c>
      <c r="J11" s="99">
        <f t="shared" si="5"/>
        <v>61854.18501423992</v>
      </c>
      <c r="K11" s="100">
        <f>'Tax Levies and EQ Tax Rates'!O7</f>
        <v>2.5395493094095287</v>
      </c>
      <c r="L11" s="101">
        <f>'# and Assessed Value of Parcels'!G7/'# and Assessed Value of Parcels'!O7</f>
        <v>0.98144233027953953</v>
      </c>
      <c r="M11" s="101">
        <f>'# and Assessed Value of Parcels'!H7/'# and Assessed Value of Parcels'!P7</f>
        <v>0.94433258765869066</v>
      </c>
      <c r="N11" s="101">
        <f t="shared" si="6"/>
        <v>0.9628874589691151</v>
      </c>
      <c r="O11" s="102">
        <f>'Tax Levies and EQ Tax Rates'!I7</f>
        <v>17251960.34</v>
      </c>
      <c r="P11" s="102">
        <f t="shared" si="7"/>
        <v>16611696.254018551</v>
      </c>
      <c r="Q11" s="103">
        <v>16923</v>
      </c>
      <c r="R11" s="102">
        <f t="shared" si="8"/>
        <v>981.60469503152819</v>
      </c>
      <c r="S11" s="102">
        <f>'Tax Levies and EQ Tax Rates'!C7</f>
        <v>35244453</v>
      </c>
      <c r="T11" s="103">
        <v>2282</v>
      </c>
      <c r="U11" s="104">
        <f t="shared" si="9"/>
        <v>15444.545574057844</v>
      </c>
    </row>
    <row r="12" spans="1:26" ht="15.75" x14ac:dyDescent="0.25">
      <c r="A12" s="95" t="s">
        <v>29</v>
      </c>
      <c r="B12" s="96" t="s">
        <v>30</v>
      </c>
      <c r="C12" s="97">
        <f t="shared" si="0"/>
        <v>1545.946260146058</v>
      </c>
      <c r="D12" s="18">
        <f t="shared" si="1"/>
        <v>959.89572752972481</v>
      </c>
      <c r="E12" s="18">
        <f t="shared" si="2"/>
        <v>2505.8419876757825</v>
      </c>
      <c r="F12" s="18">
        <f t="shared" si="3"/>
        <v>94709.030894398646</v>
      </c>
      <c r="G12" s="98">
        <v>164529.66666666666</v>
      </c>
      <c r="H12" s="99">
        <f t="shared" si="4"/>
        <v>69820.635772268011</v>
      </c>
      <c r="I12" s="18">
        <v>206835.02</v>
      </c>
      <c r="J12" s="99">
        <f t="shared" si="5"/>
        <v>112125.98910560134</v>
      </c>
      <c r="K12" s="100">
        <f>'Tax Levies and EQ Tax Rates'!O18</f>
        <v>2.6458321492802699</v>
      </c>
      <c r="L12" s="101">
        <f>'# and Assessed Value of Parcels'!G18/'# and Assessed Value of Parcels'!O18</f>
        <v>0.84162883700821445</v>
      </c>
      <c r="M12" s="101">
        <f>'# and Assessed Value of Parcels'!H18/'# and Assessed Value of Parcels'!P18</f>
        <v>0.54365223337971258</v>
      </c>
      <c r="N12" s="101">
        <f t="shared" si="6"/>
        <v>0.69264053519396351</v>
      </c>
      <c r="O12" s="102">
        <f>'Tax Levies and EQ Tax Rates'!I18</f>
        <v>252218004</v>
      </c>
      <c r="P12" s="102">
        <f t="shared" si="7"/>
        <v>174696413.27611324</v>
      </c>
      <c r="Q12" s="103">
        <v>311549</v>
      </c>
      <c r="R12" s="102">
        <f t="shared" si="8"/>
        <v>560.73495108670943</v>
      </c>
      <c r="S12" s="102">
        <f>'Tax Levies and EQ Tax Rates'!C18</f>
        <v>135819599</v>
      </c>
      <c r="T12" s="103">
        <v>60135</v>
      </c>
      <c r="U12" s="104">
        <f t="shared" si="9"/>
        <v>2258.578182422882</v>
      </c>
    </row>
    <row r="13" spans="1:26" ht="15.75" x14ac:dyDescent="0.25">
      <c r="A13" s="95" t="s">
        <v>31</v>
      </c>
      <c r="B13" s="96" t="s">
        <v>32</v>
      </c>
      <c r="C13" s="97">
        <f t="shared" si="0"/>
        <v>2171.3074108430969</v>
      </c>
      <c r="D13" s="18">
        <f t="shared" si="1"/>
        <v>6949.896617210683</v>
      </c>
      <c r="E13" s="18">
        <f t="shared" si="2"/>
        <v>9121.2040280537803</v>
      </c>
      <c r="F13" s="18">
        <f t="shared" si="3"/>
        <v>383523.88853895257</v>
      </c>
      <c r="G13" s="98">
        <v>228185.83333333334</v>
      </c>
      <c r="H13" s="99">
        <f t="shared" si="4"/>
        <v>-155338.05520561922</v>
      </c>
      <c r="I13" s="18">
        <v>380312.48625557189</v>
      </c>
      <c r="J13" s="99">
        <f t="shared" si="5"/>
        <v>-3211.4022833806812</v>
      </c>
      <c r="K13" s="100">
        <f>'Tax Levies and EQ Tax Rates'!O20</f>
        <v>2.3782622935956663</v>
      </c>
      <c r="L13" s="101">
        <f>'# and Assessed Value of Parcels'!G20/'# and Assessed Value of Parcels'!O20</f>
        <v>0.95667524385135538</v>
      </c>
      <c r="M13" s="101">
        <f>'# and Assessed Value of Parcels'!H20/'# and Assessed Value of Parcels'!P20</f>
        <v>0.81220548036186702</v>
      </c>
      <c r="N13" s="101">
        <f t="shared" si="6"/>
        <v>0.88444036210661126</v>
      </c>
      <c r="O13" s="102">
        <f>'Tax Levies and EQ Tax Rates'!I20</f>
        <v>44269379.890000001</v>
      </c>
      <c r="P13" s="102">
        <f t="shared" si="7"/>
        <v>39153626.380146734</v>
      </c>
      <c r="Q13" s="103">
        <v>49715</v>
      </c>
      <c r="R13" s="102">
        <f t="shared" si="8"/>
        <v>787.561628887594</v>
      </c>
      <c r="S13" s="102">
        <f>'Tax Levies and EQ Tax Rates'!C20</f>
        <v>137771480</v>
      </c>
      <c r="T13" s="103">
        <v>8425</v>
      </c>
      <c r="U13" s="104">
        <f t="shared" si="9"/>
        <v>16352.697922848665</v>
      </c>
    </row>
    <row r="14" spans="1:26" ht="15.75" x14ac:dyDescent="0.25">
      <c r="A14" s="95" t="s">
        <v>31</v>
      </c>
      <c r="B14" s="96" t="s">
        <v>33</v>
      </c>
      <c r="C14" s="97">
        <f t="shared" si="0"/>
        <v>1449.0293826018894</v>
      </c>
      <c r="D14" s="18">
        <f t="shared" si="1"/>
        <v>5612.7613413878562</v>
      </c>
      <c r="E14" s="18">
        <f t="shared" si="2"/>
        <v>7061.7907239897459</v>
      </c>
      <c r="F14" s="18">
        <f t="shared" si="3"/>
        <v>419009.73125040607</v>
      </c>
      <c r="G14" s="98">
        <v>131130.71428571429</v>
      </c>
      <c r="H14" s="99">
        <f t="shared" si="4"/>
        <v>-287879.01696469181</v>
      </c>
      <c r="I14" s="18">
        <v>375525.05340998498</v>
      </c>
      <c r="J14" s="99">
        <f t="shared" si="5"/>
        <v>-43484.677840421093</v>
      </c>
      <c r="K14" s="100">
        <f>'Tax Levies and EQ Tax Rates'!O21</f>
        <v>1.6853524386930101</v>
      </c>
      <c r="L14" s="101">
        <f>'# and Assessed Value of Parcels'!G21/'# and Assessed Value of Parcels'!O21</f>
        <v>0.97122792306482886</v>
      </c>
      <c r="M14" s="101">
        <f>'# and Assessed Value of Parcels'!H21/'# and Assessed Value of Parcels'!P21</f>
        <v>0.88589383044965919</v>
      </c>
      <c r="N14" s="101">
        <f t="shared" si="6"/>
        <v>0.92856087675724397</v>
      </c>
      <c r="O14" s="102">
        <f>'Tax Levies and EQ Tax Rates'!I21</f>
        <v>37853002.5</v>
      </c>
      <c r="P14" s="102">
        <f t="shared" si="7"/>
        <v>35148817.189294145</v>
      </c>
      <c r="Q14" s="103">
        <v>66876</v>
      </c>
      <c r="R14" s="102">
        <f t="shared" si="8"/>
        <v>525.58193057739913</v>
      </c>
      <c r="S14" s="102">
        <f>'Tax Levies and EQ Tax Rates'!C21</f>
        <v>106576433</v>
      </c>
      <c r="T14" s="103">
        <v>8070</v>
      </c>
      <c r="U14" s="104">
        <f t="shared" si="9"/>
        <v>13206.49727385378</v>
      </c>
    </row>
    <row r="15" spans="1:26" ht="15.75" x14ac:dyDescent="0.25">
      <c r="A15" s="95" t="s">
        <v>31</v>
      </c>
      <c r="B15" s="96" t="s">
        <v>34</v>
      </c>
      <c r="C15" s="97">
        <f t="shared" si="0"/>
        <v>2290.0211427799873</v>
      </c>
      <c r="D15" s="18">
        <f t="shared" si="1"/>
        <v>5510.6844409024034</v>
      </c>
      <c r="E15" s="18">
        <f t="shared" si="2"/>
        <v>7800.7055836823911</v>
      </c>
      <c r="F15" s="18">
        <f t="shared" si="3"/>
        <v>330909.58366746764</v>
      </c>
      <c r="G15" s="98">
        <v>306079.8125</v>
      </c>
      <c r="H15" s="99">
        <f t="shared" si="4"/>
        <v>-24829.771167467639</v>
      </c>
      <c r="I15" s="18">
        <v>324882.83960519475</v>
      </c>
      <c r="J15" s="99">
        <f t="shared" si="5"/>
        <v>-6026.74406227289</v>
      </c>
      <c r="K15" s="100">
        <f>'Tax Levies and EQ Tax Rates'!O22</f>
        <v>2.357352572635476</v>
      </c>
      <c r="L15" s="101">
        <f>'# and Assessed Value of Parcels'!G22/'# and Assessed Value of Parcels'!O22</f>
        <v>0.92460317460317465</v>
      </c>
      <c r="M15" s="101">
        <f>'# and Assessed Value of Parcels'!H22/'# and Assessed Value of Parcels'!P22</f>
        <v>0.82398227250676292</v>
      </c>
      <c r="N15" s="101">
        <f t="shared" si="6"/>
        <v>0.87429272355496879</v>
      </c>
      <c r="O15" s="102">
        <f>'Tax Levies and EQ Tax Rates'!I22</f>
        <v>13904912.58</v>
      </c>
      <c r="P15" s="102">
        <f t="shared" si="7"/>
        <v>12156963.890361948</v>
      </c>
      <c r="Q15" s="103">
        <v>14636</v>
      </c>
      <c r="R15" s="102">
        <f t="shared" si="8"/>
        <v>830.62065389190684</v>
      </c>
      <c r="S15" s="102">
        <f>'Tax Levies and EQ Tax Rates'!C22</f>
        <v>26438319</v>
      </c>
      <c r="T15" s="103">
        <v>2039</v>
      </c>
      <c r="U15" s="104">
        <f t="shared" si="9"/>
        <v>12966.316331535067</v>
      </c>
    </row>
    <row r="16" spans="1:26" ht="15.75" x14ac:dyDescent="0.25">
      <c r="A16" s="95" t="s">
        <v>31</v>
      </c>
      <c r="B16" s="96" t="s">
        <v>35</v>
      </c>
      <c r="C16" s="97">
        <f t="shared" si="0"/>
        <v>1959.3985022355007</v>
      </c>
      <c r="D16" s="18">
        <f t="shared" si="1"/>
        <v>4365.4420382406288</v>
      </c>
      <c r="E16" s="18">
        <f t="shared" si="2"/>
        <v>6324.8405404761297</v>
      </c>
      <c r="F16" s="18">
        <f t="shared" si="3"/>
        <v>321163.23854088411</v>
      </c>
      <c r="G16" s="98">
        <v>208675.08</v>
      </c>
      <c r="H16" s="99">
        <f t="shared" si="4"/>
        <v>-112488.15854088412</v>
      </c>
      <c r="I16" s="18">
        <v>330954.76083892316</v>
      </c>
      <c r="J16" s="99">
        <f t="shared" si="5"/>
        <v>9791.5222980390536</v>
      </c>
      <c r="K16" s="100">
        <f>'Tax Levies and EQ Tax Rates'!O23</f>
        <v>1.9693538305353018</v>
      </c>
      <c r="L16" s="101">
        <f>'# and Assessed Value of Parcels'!G23/'# and Assessed Value of Parcels'!O23</f>
        <v>0.96279666452854396</v>
      </c>
      <c r="M16" s="101">
        <f>'# and Assessed Value of Parcels'!H23/'# and Assessed Value of Parcels'!P23</f>
        <v>0.85286917759426784</v>
      </c>
      <c r="N16" s="101">
        <f t="shared" si="6"/>
        <v>0.9078329210614059</v>
      </c>
      <c r="O16" s="102">
        <f>'Tax Levies and EQ Tax Rates'!I23</f>
        <v>35498457.659999996</v>
      </c>
      <c r="P16" s="102">
        <f t="shared" si="7"/>
        <v>32226668.510652438</v>
      </c>
      <c r="Q16" s="103">
        <v>45345</v>
      </c>
      <c r="R16" s="102">
        <f t="shared" si="8"/>
        <v>710.69949301251381</v>
      </c>
      <c r="S16" s="102">
        <f>'Tax Levies and EQ Tax Rates'!C23</f>
        <v>67957093</v>
      </c>
      <c r="T16" s="103">
        <v>6616</v>
      </c>
      <c r="U16" s="104">
        <f t="shared" si="9"/>
        <v>10271.628325272068</v>
      </c>
    </row>
    <row r="17" spans="1:21" ht="15.75" x14ac:dyDescent="0.25">
      <c r="A17" s="95" t="s">
        <v>31</v>
      </c>
      <c r="B17" s="96" t="s">
        <v>36</v>
      </c>
      <c r="C17" s="97">
        <f t="shared" si="0"/>
        <v>1682.9130880527994</v>
      </c>
      <c r="D17" s="18">
        <f t="shared" si="1"/>
        <v>3171.172974917763</v>
      </c>
      <c r="E17" s="18">
        <f t="shared" si="2"/>
        <v>4854.0860629705621</v>
      </c>
      <c r="F17" s="18">
        <f t="shared" si="3"/>
        <v>255903.15213788324</v>
      </c>
      <c r="G17" s="98">
        <v>163469.66666666666</v>
      </c>
      <c r="H17" s="99">
        <f t="shared" si="4"/>
        <v>-92433.485471216583</v>
      </c>
      <c r="I17" s="18">
        <v>293469.90956554172</v>
      </c>
      <c r="J17" s="99">
        <f t="shared" si="5"/>
        <v>37566.757427658478</v>
      </c>
      <c r="K17" s="100">
        <f>'Tax Levies and EQ Tax Rates'!O24</f>
        <v>1.8968449674879859</v>
      </c>
      <c r="L17" s="101">
        <f>'# and Assessed Value of Parcels'!G24/'# and Assessed Value of Parcels'!O24</f>
        <v>0.95376862401402274</v>
      </c>
      <c r="M17" s="101">
        <f>'# and Assessed Value of Parcels'!H24/'# and Assessed Value of Parcels'!P24</f>
        <v>0.87694473065069911</v>
      </c>
      <c r="N17" s="101">
        <f t="shared" si="6"/>
        <v>0.91535667733236092</v>
      </c>
      <c r="O17" s="102">
        <f>'Tax Levies and EQ Tax Rates'!I24</f>
        <v>10748447</v>
      </c>
      <c r="P17" s="102">
        <f t="shared" si="7"/>
        <v>9838662.7324029822</v>
      </c>
      <c r="Q17" s="103">
        <v>16118</v>
      </c>
      <c r="R17" s="102">
        <f t="shared" si="8"/>
        <v>610.41461300427977</v>
      </c>
      <c r="S17" s="102">
        <f>'Tax Levies and EQ Tax Rates'!C24</f>
        <v>18146571</v>
      </c>
      <c r="T17" s="103">
        <v>2432</v>
      </c>
      <c r="U17" s="104">
        <f t="shared" si="9"/>
        <v>7461.5834703947367</v>
      </c>
    </row>
    <row r="18" spans="1:21" ht="15.75" x14ac:dyDescent="0.25">
      <c r="A18" s="95" t="s">
        <v>31</v>
      </c>
      <c r="B18" s="96" t="s">
        <v>37</v>
      </c>
      <c r="C18" s="97">
        <f t="shared" si="0"/>
        <v>2315.5768893165305</v>
      </c>
      <c r="D18" s="18">
        <f t="shared" si="1"/>
        <v>5638.8502262916027</v>
      </c>
      <c r="E18" s="18">
        <f t="shared" si="2"/>
        <v>7954.4271156081331</v>
      </c>
      <c r="F18" s="18">
        <f t="shared" si="3"/>
        <v>340011.86373780778</v>
      </c>
      <c r="G18" s="98">
        <v>232839.67052023122</v>
      </c>
      <c r="H18" s="99">
        <f t="shared" si="4"/>
        <v>-107172.19321757657</v>
      </c>
      <c r="I18" s="18">
        <v>307619.50587780745</v>
      </c>
      <c r="J18" s="99">
        <f t="shared" si="5"/>
        <v>-32392.357860000338</v>
      </c>
      <c r="K18" s="100">
        <f>'Tax Levies and EQ Tax Rates'!O25</f>
        <v>2.3394557555032858</v>
      </c>
      <c r="L18" s="101">
        <f>'# and Assessed Value of Parcels'!G25/'# and Assessed Value of Parcels'!O25</f>
        <v>0.95527753810756399</v>
      </c>
      <c r="M18" s="101">
        <f>'# and Assessed Value of Parcels'!H25/'# and Assessed Value of Parcels'!P25</f>
        <v>0.7164271010805654</v>
      </c>
      <c r="N18" s="101">
        <f t="shared" si="6"/>
        <v>0.8358523195940647</v>
      </c>
      <c r="O18" s="102">
        <f>'Tax Levies and EQ Tax Rates'!I25</f>
        <v>104139647.23</v>
      </c>
      <c r="P18" s="102">
        <f t="shared" si="7"/>
        <v>87045365.698903114</v>
      </c>
      <c r="Q18" s="103">
        <v>103639</v>
      </c>
      <c r="R18" s="102">
        <f t="shared" si="8"/>
        <v>839.89005778619162</v>
      </c>
      <c r="S18" s="102">
        <f>'Tax Levies and EQ Tax Rates'!C25</f>
        <v>190553334</v>
      </c>
      <c r="T18" s="103">
        <v>14362</v>
      </c>
      <c r="U18" s="104">
        <f t="shared" si="9"/>
        <v>13267.882885392006</v>
      </c>
    </row>
    <row r="19" spans="1:21" ht="15.75" x14ac:dyDescent="0.25">
      <c r="A19" s="95" t="s">
        <v>38</v>
      </c>
      <c r="B19" s="96" t="s">
        <v>39</v>
      </c>
      <c r="C19" s="97">
        <f t="shared" si="0"/>
        <v>3145.2064551244416</v>
      </c>
      <c r="D19" s="18">
        <f t="shared" si="1"/>
        <v>1264.2510814606742</v>
      </c>
      <c r="E19" s="18">
        <f t="shared" si="2"/>
        <v>4409.457536585116</v>
      </c>
      <c r="F19" s="18">
        <f t="shared" si="3"/>
        <v>163479.65511350275</v>
      </c>
      <c r="G19" s="98">
        <v>134718.75</v>
      </c>
      <c r="H19" s="99">
        <f t="shared" si="4"/>
        <v>-28760.905113502755</v>
      </c>
      <c r="I19" s="18">
        <v>183891.10284549042</v>
      </c>
      <c r="J19" s="99">
        <f t="shared" si="5"/>
        <v>20411.447731987661</v>
      </c>
      <c r="K19" s="100">
        <f>'Tax Levies and EQ Tax Rates'!O26</f>
        <v>2.6972515531205774</v>
      </c>
      <c r="L19" s="101">
        <f>'# and Assessed Value of Parcels'!G26/'# and Assessed Value of Parcels'!O26</f>
        <v>0.96441281138790036</v>
      </c>
      <c r="M19" s="101">
        <f>'# and Assessed Value of Parcels'!H26/'# and Assessed Value of Parcels'!P26</f>
        <v>0.88303144331890093</v>
      </c>
      <c r="N19" s="101">
        <f t="shared" si="6"/>
        <v>0.92372212735340065</v>
      </c>
      <c r="O19" s="102">
        <f>'Tax Levies and EQ Tax Rates'!I26</f>
        <v>12047538.390000001</v>
      </c>
      <c r="P19" s="102">
        <f t="shared" si="7"/>
        <v>11128577.790982563</v>
      </c>
      <c r="Q19" s="103">
        <v>9755</v>
      </c>
      <c r="R19" s="102">
        <f t="shared" si="8"/>
        <v>1140.8075644267108</v>
      </c>
      <c r="S19" s="102">
        <f>'Tax Levies and EQ Tax Rates'!C26</f>
        <v>5294981</v>
      </c>
      <c r="T19" s="103">
        <v>1780</v>
      </c>
      <c r="U19" s="104">
        <f t="shared" si="9"/>
        <v>2974.7084269662923</v>
      </c>
    </row>
    <row r="20" spans="1:21" ht="15.75" x14ac:dyDescent="0.25">
      <c r="A20" s="95" t="s">
        <v>38</v>
      </c>
      <c r="B20" s="96" t="s">
        <v>40</v>
      </c>
      <c r="C20" s="97">
        <f t="shared" si="0"/>
        <v>1593.4249058801668</v>
      </c>
      <c r="D20" s="18">
        <f t="shared" si="1"/>
        <v>5811.8987902399012</v>
      </c>
      <c r="E20" s="18">
        <f t="shared" si="2"/>
        <v>7405.3236961200682</v>
      </c>
      <c r="F20" s="18">
        <f t="shared" si="3"/>
        <v>457489.09340061236</v>
      </c>
      <c r="G20" s="98">
        <v>292062.5</v>
      </c>
      <c r="H20" s="99">
        <f t="shared" si="4"/>
        <v>-165426.59340061236</v>
      </c>
      <c r="I20" s="18">
        <v>480487.37380101485</v>
      </c>
      <c r="J20" s="99">
        <f t="shared" si="5"/>
        <v>22998.280400402495</v>
      </c>
      <c r="K20" s="100">
        <f>'Tax Levies and EQ Tax Rates'!O27</f>
        <v>1.6186885770488524</v>
      </c>
      <c r="L20" s="101">
        <f>'# and Assessed Value of Parcels'!G27/'# and Assessed Value of Parcels'!O27</f>
        <v>0.97272104180945851</v>
      </c>
      <c r="M20" s="101">
        <f>'# and Assessed Value of Parcels'!H27/'# and Assessed Value of Parcels'!P27</f>
        <v>0.92205750411890763</v>
      </c>
      <c r="N20" s="101">
        <f t="shared" si="6"/>
        <v>0.94738927296418307</v>
      </c>
      <c r="O20" s="102">
        <f>'Tax Levies and EQ Tax Rates'!I27</f>
        <v>24954149.290000003</v>
      </c>
      <c r="P20" s="102">
        <f t="shared" si="7"/>
        <v>23641293.353292789</v>
      </c>
      <c r="Q20" s="103">
        <v>40905</v>
      </c>
      <c r="R20" s="102">
        <f t="shared" si="8"/>
        <v>577.95607757713697</v>
      </c>
      <c r="S20" s="102">
        <f>'Tax Levies and EQ Tax Rates'!C27</f>
        <v>66693248</v>
      </c>
      <c r="T20" s="103">
        <v>4877</v>
      </c>
      <c r="U20" s="104">
        <f t="shared" si="9"/>
        <v>13675.055977035063</v>
      </c>
    </row>
    <row r="21" spans="1:21" ht="15.75" customHeight="1" x14ac:dyDescent="0.25">
      <c r="A21" s="95" t="s">
        <v>41</v>
      </c>
      <c r="B21" s="96" t="s">
        <v>42</v>
      </c>
      <c r="C21" s="97">
        <f t="shared" si="0"/>
        <v>2099.9795535676881</v>
      </c>
      <c r="D21" s="18">
        <f t="shared" si="1"/>
        <v>686.56224407327579</v>
      </c>
      <c r="E21" s="18">
        <f t="shared" si="2"/>
        <v>2786.541797640964</v>
      </c>
      <c r="F21" s="18">
        <f t="shared" si="3"/>
        <v>107841.81514451443</v>
      </c>
      <c r="G21" s="98">
        <v>127704.12</v>
      </c>
      <c r="H21" s="99">
        <f t="shared" si="4"/>
        <v>19862.304855485563</v>
      </c>
      <c r="I21" s="18">
        <v>259019.58204943058</v>
      </c>
      <c r="J21" s="99">
        <f t="shared" si="5"/>
        <v>151177.76690491615</v>
      </c>
      <c r="K21" s="100">
        <f>'Tax Levies and EQ Tax Rates'!O33</f>
        <v>2.5839158900532531</v>
      </c>
      <c r="L21" s="101">
        <f>'# and Assessed Value of Parcels'!G33/'# and Assessed Value of Parcels'!O33</f>
        <v>0.8215948144603471</v>
      </c>
      <c r="M21" s="101">
        <f>'# and Assessed Value of Parcels'!H33/'# and Assessed Value of Parcels'!P33</f>
        <v>0.65337602486817126</v>
      </c>
      <c r="N21" s="101">
        <f t="shared" si="6"/>
        <v>0.73748541966425918</v>
      </c>
      <c r="O21" s="102">
        <f>'Tax Levies and EQ Tax Rates'!I33</f>
        <v>164974488.69999999</v>
      </c>
      <c r="P21" s="102">
        <f t="shared" si="7"/>
        <v>121666280.03281608</v>
      </c>
      <c r="Q21" s="103">
        <v>159732</v>
      </c>
      <c r="R21" s="102">
        <f t="shared" si="8"/>
        <v>761.69008109092783</v>
      </c>
      <c r="S21" s="102">
        <f>'Tax Levies and EQ Tax Rates'!C33</f>
        <v>50970381</v>
      </c>
      <c r="T21" s="103">
        <v>31552</v>
      </c>
      <c r="U21" s="104">
        <f t="shared" si="9"/>
        <v>1615.4405742900608</v>
      </c>
    </row>
    <row r="22" spans="1:21" ht="15.75" customHeight="1" x14ac:dyDescent="0.25">
      <c r="A22" s="95" t="s">
        <v>41</v>
      </c>
      <c r="B22" s="96" t="s">
        <v>43</v>
      </c>
      <c r="C22" s="97">
        <f t="shared" si="0"/>
        <v>2449.0170665294818</v>
      </c>
      <c r="D22" s="18">
        <f t="shared" si="1"/>
        <v>5631.4716149870801</v>
      </c>
      <c r="E22" s="18">
        <f t="shared" si="2"/>
        <v>8080.4886815165619</v>
      </c>
      <c r="F22" s="18">
        <f t="shared" si="3"/>
        <v>283432.70531599165</v>
      </c>
      <c r="G22" s="98">
        <v>277978.01639344264</v>
      </c>
      <c r="H22" s="99">
        <f t="shared" si="4"/>
        <v>-5454.6889225490158</v>
      </c>
      <c r="I22" s="18">
        <v>297009.71450045862</v>
      </c>
      <c r="J22" s="99">
        <f t="shared" si="5"/>
        <v>13577.009184466966</v>
      </c>
      <c r="K22" s="100">
        <f>'Tax Levies and EQ Tax Rates'!O34</f>
        <v>2.8509372877444887</v>
      </c>
      <c r="L22" s="101">
        <f>'# and Assessed Value of Parcels'!G34/'# and Assessed Value of Parcels'!O34</f>
        <v>0.95521999479302266</v>
      </c>
      <c r="M22" s="101">
        <f>'# and Assessed Value of Parcels'!H34/'# and Assessed Value of Parcels'!P34</f>
        <v>0.87552226480698236</v>
      </c>
      <c r="N22" s="101">
        <f t="shared" si="6"/>
        <v>0.91537112980000246</v>
      </c>
      <c r="O22" s="102">
        <f>'Tax Levies and EQ Tax Rates'!I34</f>
        <v>10797816</v>
      </c>
      <c r="P22" s="102">
        <f t="shared" si="7"/>
        <v>9884009.0312925428</v>
      </c>
      <c r="Q22" s="103">
        <v>11127</v>
      </c>
      <c r="R22" s="102">
        <f t="shared" si="8"/>
        <v>888.29055731936216</v>
      </c>
      <c r="S22" s="102">
        <f>'Tax Levies and EQ Tax Rates'!C34</f>
        <v>25639759</v>
      </c>
      <c r="T22" s="103">
        <v>1935</v>
      </c>
      <c r="U22" s="104">
        <f t="shared" si="9"/>
        <v>13250.521447028425</v>
      </c>
    </row>
    <row r="23" spans="1:21" ht="15.75" customHeight="1" x14ac:dyDescent="0.25">
      <c r="A23" s="95" t="s">
        <v>41</v>
      </c>
      <c r="B23" s="96" t="s">
        <v>44</v>
      </c>
      <c r="C23" s="97">
        <f t="shared" si="0"/>
        <v>2768.14160556961</v>
      </c>
      <c r="D23" s="18">
        <f t="shared" si="1"/>
        <v>8457.9535419575968</v>
      </c>
      <c r="E23" s="18">
        <f t="shared" si="2"/>
        <v>11226.095147527207</v>
      </c>
      <c r="F23" s="18">
        <f t="shared" si="3"/>
        <v>552668.27731484885</v>
      </c>
      <c r="G23" s="98">
        <v>153319.37435897437</v>
      </c>
      <c r="H23" s="99">
        <f t="shared" si="4"/>
        <v>-399348.90295587445</v>
      </c>
      <c r="I23" s="18">
        <v>477846.1366160438</v>
      </c>
      <c r="J23" s="99">
        <f t="shared" si="5"/>
        <v>-74822.140698805044</v>
      </c>
      <c r="K23" s="100">
        <f>'Tax Levies and EQ Tax Rates'!O35</f>
        <v>2.0312537571487619</v>
      </c>
      <c r="L23" s="101">
        <f>'# and Assessed Value of Parcels'!G35/'# and Assessed Value of Parcels'!O35</f>
        <v>0.95973428121904314</v>
      </c>
      <c r="M23" s="101">
        <f>'# and Assessed Value of Parcels'!H35/'# and Assessed Value of Parcels'!P35</f>
        <v>0.74630979334649838</v>
      </c>
      <c r="N23" s="101">
        <f t="shared" si="6"/>
        <v>0.85302203728277082</v>
      </c>
      <c r="O23" s="102">
        <f>'Tax Levies and EQ Tax Rates'!I35</f>
        <v>64546529</v>
      </c>
      <c r="P23" s="102">
        <f t="shared" si="7"/>
        <v>55059611.667111449</v>
      </c>
      <c r="Q23" s="103">
        <v>54838</v>
      </c>
      <c r="R23" s="102">
        <f t="shared" si="8"/>
        <v>1004.0412062276423</v>
      </c>
      <c r="S23" s="102">
        <f>'Tax Levies and EQ Tax Rates'!C35</f>
        <v>156760706</v>
      </c>
      <c r="T23" s="103">
        <v>7877</v>
      </c>
      <c r="U23" s="104">
        <f t="shared" si="9"/>
        <v>19901.067157547288</v>
      </c>
    </row>
    <row r="24" spans="1:21" ht="15.75" customHeight="1" x14ac:dyDescent="0.25">
      <c r="A24" s="95" t="s">
        <v>45</v>
      </c>
      <c r="B24" s="96" t="s">
        <v>46</v>
      </c>
      <c r="C24" s="97">
        <f t="shared" si="0"/>
        <v>1514.1769894877168</v>
      </c>
      <c r="D24" s="18">
        <f t="shared" si="1"/>
        <v>7590.1128235433171</v>
      </c>
      <c r="E24" s="18">
        <f t="shared" si="2"/>
        <v>9104.2898130310332</v>
      </c>
      <c r="F24" s="18">
        <f t="shared" si="3"/>
        <v>560897.18171395385</v>
      </c>
      <c r="G24" s="98">
        <v>141634.5</v>
      </c>
      <c r="H24" s="99">
        <f t="shared" si="4"/>
        <v>-419262.68171395385</v>
      </c>
      <c r="I24" s="18">
        <v>369483.93308506976</v>
      </c>
      <c r="J24" s="99">
        <f t="shared" si="5"/>
        <v>-191413.24862888409</v>
      </c>
      <c r="K24" s="100">
        <f>'Tax Levies and EQ Tax Rates'!O38</f>
        <v>1.6231655479549254</v>
      </c>
      <c r="L24" s="101">
        <f>'# and Assessed Value of Parcels'!G38/'# and Assessed Value of Parcels'!O38</f>
        <v>0.966461229754909</v>
      </c>
      <c r="M24" s="101">
        <f>'# and Assessed Value of Parcels'!H38/'# and Assessed Value of Parcels'!P38</f>
        <v>0.74002784885113326</v>
      </c>
      <c r="N24" s="101">
        <f t="shared" si="6"/>
        <v>0.85324453930302113</v>
      </c>
      <c r="O24" s="102">
        <f>'Tax Levies and EQ Tax Rates'!I38</f>
        <v>44004169</v>
      </c>
      <c r="P24" s="102">
        <f t="shared" si="7"/>
        <v>37546316.905817285</v>
      </c>
      <c r="Q24" s="103">
        <v>68364</v>
      </c>
      <c r="R24" s="102">
        <f t="shared" si="8"/>
        <v>549.21182063391973</v>
      </c>
      <c r="S24" s="102">
        <f>'Tax Levies and EQ Tax Rates'!C38</f>
        <v>151105752</v>
      </c>
      <c r="T24" s="103">
        <v>8461</v>
      </c>
      <c r="U24" s="104">
        <f t="shared" si="9"/>
        <v>17859.088996572511</v>
      </c>
    </row>
    <row r="25" spans="1:21" ht="15.75" customHeight="1" x14ac:dyDescent="0.25">
      <c r="A25" s="95" t="s">
        <v>45</v>
      </c>
      <c r="B25" s="96" t="s">
        <v>47</v>
      </c>
      <c r="C25" s="97">
        <f t="shared" si="0"/>
        <v>2179.8075441054948</v>
      </c>
      <c r="D25" s="18">
        <f t="shared" si="1"/>
        <v>4022.8577992744858</v>
      </c>
      <c r="E25" s="18">
        <f t="shared" si="2"/>
        <v>6202.6653433799802</v>
      </c>
      <c r="F25" s="18">
        <f t="shared" si="3"/>
        <v>235097.435555854</v>
      </c>
      <c r="G25" s="98">
        <v>194522.93251533742</v>
      </c>
      <c r="H25" s="99">
        <f t="shared" si="4"/>
        <v>-40574.503040516574</v>
      </c>
      <c r="I25" s="18">
        <v>253303.85400846496</v>
      </c>
      <c r="J25" s="99">
        <f t="shared" si="5"/>
        <v>18206.41845261096</v>
      </c>
      <c r="K25" s="100">
        <f>'Tax Levies and EQ Tax Rates'!O39</f>
        <v>2.6383381548653104</v>
      </c>
      <c r="L25" s="101">
        <f>'# and Assessed Value of Parcels'!G39/'# and Assessed Value of Parcels'!O39</f>
        <v>0.95111773472429206</v>
      </c>
      <c r="M25" s="101">
        <f>'# and Assessed Value of Parcels'!H39/'# and Assessed Value of Parcels'!P39</f>
        <v>0.86385134818830744</v>
      </c>
      <c r="N25" s="101">
        <f t="shared" si="6"/>
        <v>0.90748454145629975</v>
      </c>
      <c r="O25" s="102">
        <f>'Tax Levies and EQ Tax Rates'!I39</f>
        <v>9542787.1500000004</v>
      </c>
      <c r="P25" s="102">
        <f t="shared" si="7"/>
        <v>8659931.8210328203</v>
      </c>
      <c r="Q25" s="103">
        <v>10953</v>
      </c>
      <c r="R25" s="102">
        <f t="shared" si="8"/>
        <v>790.64473852212359</v>
      </c>
      <c r="S25" s="102">
        <f>'Tax Levies and EQ Tax Rates'!C39</f>
        <v>15656016</v>
      </c>
      <c r="T25" s="103">
        <v>1654</v>
      </c>
      <c r="U25" s="104">
        <f t="shared" si="9"/>
        <v>9465.5477629987909</v>
      </c>
    </row>
    <row r="26" spans="1:21" ht="15.75" customHeight="1" x14ac:dyDescent="0.25">
      <c r="A26" s="95" t="s">
        <v>48</v>
      </c>
      <c r="B26" s="96" t="s">
        <v>49</v>
      </c>
      <c r="C26" s="97">
        <f t="shared" si="0"/>
        <v>2837.4456829776777</v>
      </c>
      <c r="D26" s="18">
        <f t="shared" si="1"/>
        <v>6081.6774453219932</v>
      </c>
      <c r="E26" s="18">
        <f t="shared" si="2"/>
        <v>8919.1231282996705</v>
      </c>
      <c r="F26" s="18">
        <f t="shared" si="3"/>
        <v>384214.47343369172</v>
      </c>
      <c r="G26" s="98">
        <v>208675.72</v>
      </c>
      <c r="H26" s="99">
        <f t="shared" si="4"/>
        <v>-175538.75343369172</v>
      </c>
      <c r="I26" s="18">
        <v>326673.73339561105</v>
      </c>
      <c r="J26" s="99">
        <f t="shared" si="5"/>
        <v>-57540.740038080665</v>
      </c>
      <c r="K26" s="100">
        <f>'Tax Levies and EQ Tax Rates'!O40</f>
        <v>2.3213917603338139</v>
      </c>
      <c r="L26" s="101">
        <f>'# and Assessed Value of Parcels'!G40/'# and Assessed Value of Parcels'!O40</f>
        <v>0.90298507462686572</v>
      </c>
      <c r="M26" s="101">
        <f>'# and Assessed Value of Parcels'!H40/'# and Assessed Value of Parcels'!P40</f>
        <v>0.53546516271707922</v>
      </c>
      <c r="N26" s="101">
        <f t="shared" si="6"/>
        <v>0.71922511867197247</v>
      </c>
      <c r="O26" s="102">
        <f>'Tax Levies and EQ Tax Rates'!I40</f>
        <v>62587105.100000001</v>
      </c>
      <c r="P26" s="102">
        <f t="shared" si="7"/>
        <v>45014218.092882715</v>
      </c>
      <c r="Q26" s="103">
        <v>43738</v>
      </c>
      <c r="R26" s="102">
        <f t="shared" si="8"/>
        <v>1029.1787025671663</v>
      </c>
      <c r="S26" s="102">
        <f>'Tax Levies and EQ Tax Rates'!C40</f>
        <v>94215916</v>
      </c>
      <c r="T26" s="103">
        <v>6584</v>
      </c>
      <c r="U26" s="104">
        <f t="shared" si="9"/>
        <v>14309.829283110572</v>
      </c>
    </row>
    <row r="27" spans="1:21" ht="15.75" customHeight="1" x14ac:dyDescent="0.25">
      <c r="A27" s="105" t="s">
        <v>48</v>
      </c>
      <c r="B27" s="106" t="s">
        <v>50</v>
      </c>
      <c r="C27" s="107">
        <f t="shared" si="0"/>
        <v>3051.4642409491703</v>
      </c>
      <c r="D27" s="108">
        <f t="shared" si="1"/>
        <v>4663.7175459825748</v>
      </c>
      <c r="E27" s="108">
        <f t="shared" si="2"/>
        <v>7715.1817869317456</v>
      </c>
      <c r="F27" s="108">
        <f t="shared" si="3"/>
        <v>267382.15802349045</v>
      </c>
      <c r="G27" s="98">
        <v>264304.5588235294</v>
      </c>
      <c r="H27" s="109">
        <f t="shared" si="4"/>
        <v>-3077.599199961056</v>
      </c>
      <c r="I27" s="108">
        <v>271614.82416846952</v>
      </c>
      <c r="J27" s="109">
        <f t="shared" si="5"/>
        <v>4232.6661449790699</v>
      </c>
      <c r="K27" s="110">
        <f>'Tax Levies and EQ Tax Rates'!O41</f>
        <v>2.885451237271389</v>
      </c>
      <c r="L27" s="111">
        <f>'# and Assessed Value of Parcels'!G41/'# and Assessed Value of Parcels'!O41</f>
        <v>0.94367816091954027</v>
      </c>
      <c r="M27" s="111">
        <f>'# and Assessed Value of Parcels'!H41/'# and Assessed Value of Parcels'!P41</f>
        <v>0.73460247640646714</v>
      </c>
      <c r="N27" s="111">
        <f t="shared" si="6"/>
        <v>0.83914031866300376</v>
      </c>
      <c r="O27" s="112">
        <f>'Tax Levies and EQ Tax Rates'!I41</f>
        <v>38983658</v>
      </c>
      <c r="P27" s="112">
        <f t="shared" si="7"/>
        <v>32712759.196769554</v>
      </c>
      <c r="Q27" s="113">
        <v>29556</v>
      </c>
      <c r="R27" s="112">
        <f t="shared" si="8"/>
        <v>1106.8060358901596</v>
      </c>
      <c r="S27" s="112">
        <f>'Tax Levies and EQ Tax Rates'!C41</f>
        <v>45342308</v>
      </c>
      <c r="T27" s="113">
        <v>4132</v>
      </c>
      <c r="U27" s="114">
        <f t="shared" si="9"/>
        <v>10973.453049370764</v>
      </c>
    </row>
    <row r="28" spans="1:21" ht="15.75" customHeight="1" x14ac:dyDescent="0.25">
      <c r="C28" s="148">
        <f>AVERAGE(C10:C27)</f>
        <v>2243.8224117496648</v>
      </c>
      <c r="D28" s="116">
        <f t="shared" ref="D28:U28" si="10">AVERAGE(D10:D27)</f>
        <v>4665.0766521853839</v>
      </c>
      <c r="E28" s="116">
        <f t="shared" si="10"/>
        <v>6908.8990639350495</v>
      </c>
      <c r="F28" s="116">
        <f t="shared" si="10"/>
        <v>311419.47682322527</v>
      </c>
      <c r="G28" s="116">
        <f t="shared" si="10"/>
        <v>203543.88422577202</v>
      </c>
      <c r="H28" s="116">
        <f t="shared" si="10"/>
        <v>-107875.59259745323</v>
      </c>
      <c r="I28" s="116">
        <f t="shared" si="10"/>
        <v>314676.7049101952</v>
      </c>
      <c r="J28" s="116">
        <f t="shared" si="10"/>
        <v>3257.2280869699607</v>
      </c>
      <c r="K28" s="146">
        <f t="shared" si="10"/>
        <v>2.4129290581626734</v>
      </c>
      <c r="L28" s="149">
        <f t="shared" si="10"/>
        <v>0.93928186702290029</v>
      </c>
      <c r="M28" s="149">
        <f t="shared" si="10"/>
        <v>0.78564249687468224</v>
      </c>
      <c r="N28" s="149">
        <f t="shared" si="10"/>
        <v>0.86246218194879132</v>
      </c>
      <c r="O28" s="150">
        <f t="shared" si="10"/>
        <v>54007357.601666659</v>
      </c>
      <c r="P28" s="150">
        <f t="shared" si="10"/>
        <v>42881523.388608858</v>
      </c>
      <c r="Q28" s="151">
        <f t="shared" si="10"/>
        <v>59688.777777777781</v>
      </c>
      <c r="R28" s="116">
        <f t="shared" si="10"/>
        <v>813.86376922367242</v>
      </c>
      <c r="S28" s="150">
        <f t="shared" si="10"/>
        <v>74463249.833333328</v>
      </c>
      <c r="T28" s="151">
        <f t="shared" si="10"/>
        <v>9865.5</v>
      </c>
      <c r="U28" s="116">
        <f t="shared" si="10"/>
        <v>10976.65094631855</v>
      </c>
    </row>
    <row r="29" spans="1:21" ht="15.75" customHeight="1" x14ac:dyDescent="0.25"/>
    <row r="30" spans="1:21" ht="15.75" customHeight="1" x14ac:dyDescent="0.25"/>
    <row r="31" spans="1:21" ht="15.75" customHeight="1" x14ac:dyDescent="0.25"/>
    <row r="32" spans="1:2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A8:B8"/>
    <mergeCell ref="C8:F8"/>
    <mergeCell ref="G8:J8"/>
    <mergeCell ref="K8:U8"/>
  </mergeCells>
  <pageMargins left="0.7" right="0.7" top="0.75" bottom="0.75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>
      <pane xSplit="2" ySplit="9" topLeftCell="C40" activePane="bottomRight" state="frozen"/>
      <selection pane="topRight" activeCell="C1" sqref="C1"/>
      <selection pane="bottomLeft" activeCell="A10" sqref="A10"/>
      <selection pane="bottomRight" activeCell="A50" sqref="A50"/>
    </sheetView>
  </sheetViews>
  <sheetFormatPr defaultColWidth="14.42578125" defaultRowHeight="15" customHeight="1" x14ac:dyDescent="0.25"/>
  <cols>
    <col min="1" max="2" width="20.85546875" customWidth="1"/>
    <col min="3" max="16" width="15.85546875" customWidth="1"/>
    <col min="17" max="26" width="11.42578125" customWidth="1"/>
  </cols>
  <sheetData>
    <row r="1" spans="1:26" x14ac:dyDescent="0.25">
      <c r="A1" s="1" t="s">
        <v>81</v>
      </c>
    </row>
    <row r="3" spans="1:26" x14ac:dyDescent="0.25">
      <c r="A3" s="219" t="s">
        <v>79</v>
      </c>
      <c r="B3" s="209"/>
    </row>
    <row r="4" spans="1:26" x14ac:dyDescent="0.25">
      <c r="A4" s="2" t="s">
        <v>0</v>
      </c>
      <c r="B4" s="3" t="s">
        <v>1</v>
      </c>
    </row>
    <row r="5" spans="1:26" x14ac:dyDescent="0.25">
      <c r="A5" s="4" t="s">
        <v>2</v>
      </c>
      <c r="B5" s="5">
        <v>2.7570000000000001</v>
      </c>
    </row>
    <row r="6" spans="1:26" x14ac:dyDescent="0.25">
      <c r="A6" s="6" t="s">
        <v>3</v>
      </c>
      <c r="B6" s="7">
        <v>0.42499999999999999</v>
      </c>
    </row>
    <row r="7" spans="1:26" x14ac:dyDescent="0.25">
      <c r="A7" s="8"/>
      <c r="B7" s="8"/>
    </row>
    <row r="8" spans="1:26" ht="31.5" customHeight="1" x14ac:dyDescent="0.25">
      <c r="A8" s="220" t="s">
        <v>4</v>
      </c>
      <c r="B8" s="209"/>
      <c r="C8" s="222" t="s">
        <v>82</v>
      </c>
      <c r="D8" s="221"/>
      <c r="E8" s="220" t="s">
        <v>6</v>
      </c>
      <c r="F8" s="221"/>
      <c r="G8" s="221"/>
      <c r="H8" s="209"/>
      <c r="I8" s="220" t="s">
        <v>52</v>
      </c>
      <c r="J8" s="221"/>
      <c r="K8" s="221"/>
      <c r="L8" s="221"/>
      <c r="M8" s="221"/>
      <c r="N8" s="221"/>
      <c r="O8" s="221"/>
      <c r="P8" s="209"/>
    </row>
    <row r="9" spans="1:26" ht="64.5" customHeight="1" x14ac:dyDescent="0.25">
      <c r="A9" s="93" t="s">
        <v>8</v>
      </c>
      <c r="B9" s="10" t="s">
        <v>9</v>
      </c>
      <c r="C9" s="11" t="s">
        <v>10</v>
      </c>
      <c r="D9" s="12" t="s">
        <v>13</v>
      </c>
      <c r="E9" s="13" t="s">
        <v>191</v>
      </c>
      <c r="F9" s="94" t="s">
        <v>192</v>
      </c>
      <c r="G9" s="14" t="s">
        <v>193</v>
      </c>
      <c r="H9" s="15" t="s">
        <v>194</v>
      </c>
      <c r="I9" s="11" t="s">
        <v>83</v>
      </c>
      <c r="J9" s="12" t="s">
        <v>15</v>
      </c>
      <c r="K9" s="12" t="s">
        <v>16</v>
      </c>
      <c r="L9" s="12" t="s">
        <v>17</v>
      </c>
      <c r="M9" s="12" t="s">
        <v>18</v>
      </c>
      <c r="N9" s="12" t="s">
        <v>19</v>
      </c>
      <c r="O9" s="12" t="s">
        <v>20</v>
      </c>
      <c r="P9" s="16" t="s">
        <v>21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x14ac:dyDescent="0.25">
      <c r="A10" s="95" t="s">
        <v>25</v>
      </c>
      <c r="B10" s="96" t="s">
        <v>26</v>
      </c>
      <c r="C10" s="97">
        <f t="shared" ref="C10:C47" si="0">$B$5*P10</f>
        <v>2629.6625471247303</v>
      </c>
      <c r="D10" s="18">
        <f t="shared" ref="D10:D47" si="1">C10/(I10/100)</f>
        <v>85826.192478386642</v>
      </c>
      <c r="E10" s="115">
        <v>60235</v>
      </c>
      <c r="F10" s="99">
        <f t="shared" ref="F10:F47" si="2">E10-D10</f>
        <v>-25591.192478386642</v>
      </c>
      <c r="G10" s="116">
        <v>98363</v>
      </c>
      <c r="H10" s="99">
        <f t="shared" ref="H10:H47" si="3">G10-D10</f>
        <v>12536.807521613358</v>
      </c>
      <c r="I10" s="117">
        <v>3.0639394236053876</v>
      </c>
      <c r="J10" s="101">
        <f>'# and Assessed Value of Parcels'!G5/'# and Assessed Value of Parcels'!O5</f>
        <v>0.92172812725958064</v>
      </c>
      <c r="K10" s="101">
        <f>'# and Assessed Value of Parcels'!H5/'# and Assessed Value of Parcels'!P5</f>
        <v>0.73101366343961027</v>
      </c>
      <c r="L10" s="101">
        <f t="shared" ref="L10:L47" si="4">(J10+K10)/2</f>
        <v>0.8263708953495954</v>
      </c>
      <c r="M10" s="102">
        <f>'Tax Levies and EQ Tax Rates'!I5</f>
        <v>23810385</v>
      </c>
      <c r="N10" s="102">
        <f t="shared" ref="N10:N47" si="5">L10*M10</f>
        <v>19676209.171068575</v>
      </c>
      <c r="O10" s="103">
        <v>20629</v>
      </c>
      <c r="P10" s="118">
        <f t="shared" ref="P10:P47" si="6">N10/O10</f>
        <v>953.81303849282926</v>
      </c>
    </row>
    <row r="11" spans="1:26" ht="15.75" x14ac:dyDescent="0.25">
      <c r="A11" s="95" t="s">
        <v>27</v>
      </c>
      <c r="B11" s="96" t="s">
        <v>54</v>
      </c>
      <c r="C11" s="97">
        <f t="shared" si="0"/>
        <v>2609.5499008455085</v>
      </c>
      <c r="D11" s="18">
        <f t="shared" si="1"/>
        <v>486674.58532487508</v>
      </c>
      <c r="E11" s="115">
        <v>221888</v>
      </c>
      <c r="F11" s="99">
        <f t="shared" si="2"/>
        <v>-264786.58532487508</v>
      </c>
      <c r="G11" s="116">
        <v>524210</v>
      </c>
      <c r="H11" s="99">
        <f t="shared" si="3"/>
        <v>37535.414675124921</v>
      </c>
      <c r="I11" s="117">
        <v>0.53620015910704022</v>
      </c>
      <c r="J11" s="101">
        <f>'# and Assessed Value of Parcels'!G6/'# and Assessed Value of Parcels'!O6</f>
        <v>0.96785505552308593</v>
      </c>
      <c r="K11" s="101">
        <f>'# and Assessed Value of Parcels'!H6/'# and Assessed Value of Parcels'!P6</f>
        <v>0.93507137588122136</v>
      </c>
      <c r="L11" s="101">
        <f t="shared" si="4"/>
        <v>0.95146321570215364</v>
      </c>
      <c r="M11" s="102">
        <f>'Tax Levies and EQ Tax Rates'!I6</f>
        <v>10090281.039999999</v>
      </c>
      <c r="N11" s="102">
        <f t="shared" si="5"/>
        <v>9600531.2456568703</v>
      </c>
      <c r="O11" s="103">
        <v>10143</v>
      </c>
      <c r="P11" s="119">
        <f t="shared" si="6"/>
        <v>946.51791833351774</v>
      </c>
    </row>
    <row r="12" spans="1:26" ht="15.75" x14ac:dyDescent="0.25">
      <c r="A12" s="95" t="s">
        <v>27</v>
      </c>
      <c r="B12" s="96" t="s">
        <v>28</v>
      </c>
      <c r="C12" s="97">
        <f t="shared" si="0"/>
        <v>2706.2841442019235</v>
      </c>
      <c r="D12" s="18">
        <f t="shared" si="1"/>
        <v>324270.86104867054</v>
      </c>
      <c r="E12" s="115">
        <v>373724</v>
      </c>
      <c r="F12" s="99">
        <f t="shared" si="2"/>
        <v>49453.138951329456</v>
      </c>
      <c r="G12" s="116">
        <v>426888</v>
      </c>
      <c r="H12" s="99">
        <f t="shared" si="3"/>
        <v>102617.13895132946</v>
      </c>
      <c r="I12" s="117">
        <v>0.8345751867589889</v>
      </c>
      <c r="J12" s="101">
        <f>'# and Assessed Value of Parcels'!G7/'# and Assessed Value of Parcels'!O7</f>
        <v>0.98144233027953953</v>
      </c>
      <c r="K12" s="101">
        <f>'# and Assessed Value of Parcels'!H7/'# and Assessed Value of Parcels'!P7</f>
        <v>0.94433258765869066</v>
      </c>
      <c r="L12" s="101">
        <f t="shared" si="4"/>
        <v>0.9628874589691151</v>
      </c>
      <c r="M12" s="102">
        <f>'Tax Levies and EQ Tax Rates'!I7</f>
        <v>17251960.34</v>
      </c>
      <c r="N12" s="102">
        <f t="shared" si="5"/>
        <v>16611696.254018551</v>
      </c>
      <c r="O12" s="103">
        <v>16923</v>
      </c>
      <c r="P12" s="119">
        <f t="shared" si="6"/>
        <v>981.60469503152819</v>
      </c>
    </row>
    <row r="13" spans="1:26" ht="15.75" x14ac:dyDescent="0.25">
      <c r="A13" s="95" t="s">
        <v>27</v>
      </c>
      <c r="B13" s="96" t="s">
        <v>55</v>
      </c>
      <c r="C13" s="97">
        <f t="shared" si="0"/>
        <v>3082.9715572310938</v>
      </c>
      <c r="D13" s="18">
        <f t="shared" si="1"/>
        <v>511042.17014537967</v>
      </c>
      <c r="E13" s="115">
        <v>366173</v>
      </c>
      <c r="F13" s="99">
        <f t="shared" si="2"/>
        <v>-144869.17014537967</v>
      </c>
      <c r="G13" s="116">
        <v>498789</v>
      </c>
      <c r="H13" s="99">
        <f t="shared" si="3"/>
        <v>-12253.17014537967</v>
      </c>
      <c r="I13" s="117">
        <v>0.60327145925238612</v>
      </c>
      <c r="J13" s="101">
        <f>'# and Assessed Value of Parcels'!G8/'# and Assessed Value of Parcels'!O8</f>
        <v>0.95667319834530806</v>
      </c>
      <c r="K13" s="101">
        <f>'# and Assessed Value of Parcels'!H8/'# and Assessed Value of Parcels'!P8</f>
        <v>0.84635298341916665</v>
      </c>
      <c r="L13" s="101">
        <f t="shared" si="4"/>
        <v>0.9015130908822373</v>
      </c>
      <c r="M13" s="102">
        <f>'Tax Levies and EQ Tax Rates'!I8</f>
        <v>15812581.220000001</v>
      </c>
      <c r="N13" s="102">
        <f t="shared" si="5"/>
        <v>14255248.97046862</v>
      </c>
      <c r="O13" s="103">
        <v>12748</v>
      </c>
      <c r="P13" s="119">
        <f t="shared" si="6"/>
        <v>1118.2341520606071</v>
      </c>
    </row>
    <row r="14" spans="1:26" ht="15.75" x14ac:dyDescent="0.25">
      <c r="A14" s="95" t="s">
        <v>27</v>
      </c>
      <c r="B14" s="96" t="s">
        <v>56</v>
      </c>
      <c r="C14" s="97">
        <f t="shared" si="0"/>
        <v>3210.5266361904009</v>
      </c>
      <c r="D14" s="18">
        <f t="shared" si="1"/>
        <v>437612.3952531704</v>
      </c>
      <c r="E14" s="115">
        <v>468655</v>
      </c>
      <c r="F14" s="99">
        <f t="shared" si="2"/>
        <v>31042.604746829602</v>
      </c>
      <c r="G14" s="116">
        <v>459467</v>
      </c>
      <c r="H14" s="99">
        <f t="shared" si="3"/>
        <v>21854.604746829602</v>
      </c>
      <c r="I14" s="117">
        <v>0.73364618347545341</v>
      </c>
      <c r="J14" s="101">
        <f>'# and Assessed Value of Parcels'!G9/'# and Assessed Value of Parcels'!O9</f>
        <v>0.91940211019929663</v>
      </c>
      <c r="K14" s="101">
        <f>'# and Assessed Value of Parcels'!H9/'# and Assessed Value of Parcels'!P9</f>
        <v>0.75552222177542272</v>
      </c>
      <c r="L14" s="101">
        <f t="shared" si="4"/>
        <v>0.83746216598735967</v>
      </c>
      <c r="M14" s="102">
        <f>'Tax Levies and EQ Tax Rates'!I9</f>
        <v>15687741</v>
      </c>
      <c r="N14" s="102">
        <f t="shared" si="5"/>
        <v>13137889.557308707</v>
      </c>
      <c r="O14" s="103">
        <v>11282</v>
      </c>
      <c r="P14" s="119">
        <f t="shared" si="6"/>
        <v>1164.5000493980417</v>
      </c>
    </row>
    <row r="15" spans="1:26" ht="15.75" x14ac:dyDescent="0.25">
      <c r="A15" s="95" t="s">
        <v>57</v>
      </c>
      <c r="B15" s="96" t="s">
        <v>58</v>
      </c>
      <c r="C15" s="97">
        <f t="shared" si="0"/>
        <v>1077.5896677234323</v>
      </c>
      <c r="D15" s="18">
        <f t="shared" si="1"/>
        <v>276189.13043544185</v>
      </c>
      <c r="E15" s="115">
        <v>466392.1648426812</v>
      </c>
      <c r="F15" s="99">
        <f t="shared" si="2"/>
        <v>190203.03440723935</v>
      </c>
      <c r="G15" s="116">
        <v>306836</v>
      </c>
      <c r="H15" s="99">
        <f t="shared" si="3"/>
        <v>30646.869564558147</v>
      </c>
      <c r="I15" s="117">
        <v>0.39016367734113805</v>
      </c>
      <c r="J15" s="101">
        <f>'# and Assessed Value of Parcels'!G10/'# and Assessed Value of Parcels'!O10</f>
        <v>0.96040113139624583</v>
      </c>
      <c r="K15" s="101">
        <f>'# and Assessed Value of Parcels'!H10/'# and Assessed Value of Parcels'!P10</f>
        <v>0.85301721781778006</v>
      </c>
      <c r="L15" s="101">
        <f t="shared" si="4"/>
        <v>0.90670917460701295</v>
      </c>
      <c r="M15" s="102">
        <f>'Tax Levies and EQ Tax Rates'!I10</f>
        <v>5518999.9199999999</v>
      </c>
      <c r="N15" s="102">
        <f t="shared" si="5"/>
        <v>5004127.8621193701</v>
      </c>
      <c r="O15" s="103">
        <v>12803</v>
      </c>
      <c r="P15" s="119">
        <f t="shared" si="6"/>
        <v>390.85588238064281</v>
      </c>
    </row>
    <row r="16" spans="1:26" ht="15.75" x14ac:dyDescent="0.25">
      <c r="A16" s="95" t="s">
        <v>57</v>
      </c>
      <c r="B16" s="96" t="s">
        <v>59</v>
      </c>
      <c r="C16" s="97">
        <f t="shared" si="0"/>
        <v>1379.4001828433675</v>
      </c>
      <c r="D16" s="18">
        <f t="shared" si="1"/>
        <v>365342.55449993885</v>
      </c>
      <c r="E16" s="115">
        <v>109349.33333333333</v>
      </c>
      <c r="F16" s="99">
        <f t="shared" si="2"/>
        <v>-255993.22116660554</v>
      </c>
      <c r="G16" s="116">
        <v>370784</v>
      </c>
      <c r="H16" s="99">
        <f t="shared" si="3"/>
        <v>5441.4455000611488</v>
      </c>
      <c r="I16" s="117">
        <v>0.37756351288762841</v>
      </c>
      <c r="J16" s="101">
        <f>'# and Assessed Value of Parcels'!G11/'# and Assessed Value of Parcels'!O11</f>
        <v>0.9585129938235637</v>
      </c>
      <c r="K16" s="101">
        <f>'# and Assessed Value of Parcels'!H11/'# and Assessed Value of Parcels'!P11</f>
        <v>0.91282274937277808</v>
      </c>
      <c r="L16" s="101">
        <f t="shared" si="4"/>
        <v>0.93566787159817089</v>
      </c>
      <c r="M16" s="102">
        <f>'Tax Levies and EQ Tax Rates'!I11</f>
        <v>13099197.74</v>
      </c>
      <c r="N16" s="102">
        <f t="shared" si="5"/>
        <v>12256498.469029371</v>
      </c>
      <c r="O16" s="103">
        <v>24497</v>
      </c>
      <c r="P16" s="119">
        <f t="shared" si="6"/>
        <v>500.32650810423195</v>
      </c>
    </row>
    <row r="17" spans="1:16" ht="15.75" x14ac:dyDescent="0.25">
      <c r="A17" s="95" t="s">
        <v>57</v>
      </c>
      <c r="B17" s="96" t="s">
        <v>60</v>
      </c>
      <c r="C17" s="97">
        <f t="shared" si="0"/>
        <v>1499.5368494870611</v>
      </c>
      <c r="D17" s="18">
        <f t="shared" si="1"/>
        <v>147910.56631356961</v>
      </c>
      <c r="E17" s="115">
        <v>93906.75</v>
      </c>
      <c r="F17" s="99">
        <f t="shared" si="2"/>
        <v>-54003.816313569609</v>
      </c>
      <c r="G17" s="116">
        <v>166312</v>
      </c>
      <c r="H17" s="99">
        <f t="shared" si="3"/>
        <v>18401.433686430391</v>
      </c>
      <c r="I17" s="117">
        <v>1.0138132027079465</v>
      </c>
      <c r="J17" s="101">
        <f>'# and Assessed Value of Parcels'!G12/'# and Assessed Value of Parcels'!O12</f>
        <v>0.9812830932151213</v>
      </c>
      <c r="K17" s="101">
        <f>'# and Assessed Value of Parcels'!H12/'# and Assessed Value of Parcels'!P12</f>
        <v>0.9332896028243699</v>
      </c>
      <c r="L17" s="101">
        <f t="shared" si="4"/>
        <v>0.95728634801974555</v>
      </c>
      <c r="M17" s="102">
        <f>'Tax Levies and EQ Tax Rates'!I12</f>
        <v>15285484.98</v>
      </c>
      <c r="N17" s="102">
        <f t="shared" si="5"/>
        <v>14632586.094214873</v>
      </c>
      <c r="O17" s="103">
        <v>26903</v>
      </c>
      <c r="P17" s="119">
        <f t="shared" si="6"/>
        <v>543.90165015852779</v>
      </c>
    </row>
    <row r="18" spans="1:16" ht="15.75" x14ac:dyDescent="0.25">
      <c r="A18" s="95" t="s">
        <v>57</v>
      </c>
      <c r="B18" s="96" t="s">
        <v>61</v>
      </c>
      <c r="C18" s="97">
        <f t="shared" si="0"/>
        <v>1061.9191577114939</v>
      </c>
      <c r="D18" s="18">
        <f t="shared" si="1"/>
        <v>313012.69367314625</v>
      </c>
      <c r="E18" s="115">
        <v>131465.04999999999</v>
      </c>
      <c r="F18" s="99">
        <f t="shared" si="2"/>
        <v>-181547.64367314626</v>
      </c>
      <c r="G18" s="116">
        <v>238534</v>
      </c>
      <c r="H18" s="99">
        <f t="shared" si="3"/>
        <v>-74478.693673146248</v>
      </c>
      <c r="I18" s="117">
        <v>0.33925753784936591</v>
      </c>
      <c r="J18" s="101">
        <f>'# and Assessed Value of Parcels'!G13/'# and Assessed Value of Parcels'!O13</f>
        <v>0.96051204165762638</v>
      </c>
      <c r="K18" s="101">
        <f>'# and Assessed Value of Parcels'!H13/'# and Assessed Value of Parcels'!P13</f>
        <v>0.90183161244513477</v>
      </c>
      <c r="L18" s="101">
        <f t="shared" si="4"/>
        <v>0.93117182705138057</v>
      </c>
      <c r="M18" s="102">
        <f>'Tax Levies and EQ Tax Rates'!I13</f>
        <v>4267546.8</v>
      </c>
      <c r="N18" s="102">
        <f t="shared" si="5"/>
        <v>3973819.3507832726</v>
      </c>
      <c r="O18" s="103">
        <v>10317</v>
      </c>
      <c r="P18" s="119">
        <f t="shared" si="6"/>
        <v>385.17198321055275</v>
      </c>
    </row>
    <row r="19" spans="1:16" ht="15.75" x14ac:dyDescent="0.25">
      <c r="A19" s="95" t="s">
        <v>62</v>
      </c>
      <c r="B19" s="96" t="s">
        <v>63</v>
      </c>
      <c r="C19" s="97">
        <f t="shared" si="0"/>
        <v>941.32412954132997</v>
      </c>
      <c r="D19" s="18">
        <f t="shared" si="1"/>
        <v>247311.12168205195</v>
      </c>
      <c r="E19" s="115">
        <v>98620.34210526316</v>
      </c>
      <c r="F19" s="99">
        <f t="shared" si="2"/>
        <v>-148690.77957678877</v>
      </c>
      <c r="G19" s="116">
        <v>118489</v>
      </c>
      <c r="H19" s="99">
        <f t="shared" si="3"/>
        <v>-128822.12168205195</v>
      </c>
      <c r="I19" s="117">
        <v>0.38062345241048834</v>
      </c>
      <c r="J19" s="101">
        <f>'# and Assessed Value of Parcels'!G14/'# and Assessed Value of Parcels'!O14</f>
        <v>0.94935451837140017</v>
      </c>
      <c r="K19" s="101">
        <f>'# and Assessed Value of Parcels'!H14/'# and Assessed Value of Parcels'!P14</f>
        <v>0.95309491622629139</v>
      </c>
      <c r="L19" s="101">
        <f t="shared" si="4"/>
        <v>0.95122471729884572</v>
      </c>
      <c r="M19" s="102">
        <f>'Tax Levies and EQ Tax Rates'!I14</f>
        <v>502154.1</v>
      </c>
      <c r="N19" s="102">
        <f t="shared" si="5"/>
        <v>477661.39181295631</v>
      </c>
      <c r="O19" s="103">
        <v>1399</v>
      </c>
      <c r="P19" s="119">
        <f t="shared" si="6"/>
        <v>341.43058742884654</v>
      </c>
    </row>
    <row r="20" spans="1:16" ht="15.75" x14ac:dyDescent="0.25">
      <c r="A20" s="95" t="s">
        <v>62</v>
      </c>
      <c r="B20" s="120" t="s">
        <v>64</v>
      </c>
      <c r="C20" s="97">
        <f t="shared" si="0"/>
        <v>631.9184135959091</v>
      </c>
      <c r="D20" s="18">
        <f t="shared" si="1"/>
        <v>129279.22237491835</v>
      </c>
      <c r="E20" s="115">
        <v>87057.657142857148</v>
      </c>
      <c r="F20" s="99">
        <f t="shared" si="2"/>
        <v>-42221.565232061199</v>
      </c>
      <c r="G20" s="116">
        <v>142843</v>
      </c>
      <c r="H20" s="99">
        <f t="shared" si="3"/>
        <v>13563.777625081653</v>
      </c>
      <c r="I20" s="117">
        <v>0.48880121800493487</v>
      </c>
      <c r="J20" s="101">
        <f>'# and Assessed Value of Parcels'!G15/'# and Assessed Value of Parcels'!O15</f>
        <v>0.95576808129109381</v>
      </c>
      <c r="K20" s="101">
        <f>'# and Assessed Value of Parcels'!H15/'# and Assessed Value of Parcels'!P15</f>
        <v>0.9003796958191036</v>
      </c>
      <c r="L20" s="101">
        <f t="shared" si="4"/>
        <v>0.92807388855509876</v>
      </c>
      <c r="M20" s="102">
        <f>'Tax Levies and EQ Tax Rates'!I15</f>
        <v>1369687.7</v>
      </c>
      <c r="N20" s="102">
        <f t="shared" si="5"/>
        <v>1271171.3898450895</v>
      </c>
      <c r="O20" s="103">
        <v>5546</v>
      </c>
      <c r="P20" s="119">
        <f t="shared" si="6"/>
        <v>229.20508291472945</v>
      </c>
    </row>
    <row r="21" spans="1:16" ht="15.75" customHeight="1" x14ac:dyDescent="0.25">
      <c r="A21" s="95" t="s">
        <v>62</v>
      </c>
      <c r="B21" s="96" t="s">
        <v>65</v>
      </c>
      <c r="C21" s="97">
        <f t="shared" si="0"/>
        <v>1042.647016093204</v>
      </c>
      <c r="D21" s="18">
        <f t="shared" si="1"/>
        <v>191227.92080779772</v>
      </c>
      <c r="E21" s="115">
        <v>36085</v>
      </c>
      <c r="F21" s="99">
        <f t="shared" si="2"/>
        <v>-155142.92080779772</v>
      </c>
      <c r="G21" s="116">
        <v>165078</v>
      </c>
      <c r="H21" s="99">
        <f t="shared" si="3"/>
        <v>-26149.920807797724</v>
      </c>
      <c r="I21" s="117">
        <v>0.54523785631762611</v>
      </c>
      <c r="J21" s="101">
        <f>'# and Assessed Value of Parcels'!G16/'# and Assessed Value of Parcels'!O16</f>
        <v>0.96660808435852374</v>
      </c>
      <c r="K21" s="101">
        <f>'# and Assessed Value of Parcels'!H16/'# and Assessed Value of Parcels'!P16</f>
        <v>0.93631576070851408</v>
      </c>
      <c r="L21" s="101">
        <f t="shared" si="4"/>
        <v>0.95146192253351891</v>
      </c>
      <c r="M21" s="102">
        <f>'Tax Levies and EQ Tax Rates'!I16</f>
        <v>1227003.3700000001</v>
      </c>
      <c r="N21" s="102">
        <f t="shared" si="5"/>
        <v>1167446.9853753068</v>
      </c>
      <c r="O21" s="103">
        <v>3087</v>
      </c>
      <c r="P21" s="119">
        <f t="shared" si="6"/>
        <v>378.18172509728112</v>
      </c>
    </row>
    <row r="22" spans="1:16" ht="15.75" customHeight="1" x14ac:dyDescent="0.25">
      <c r="A22" s="133" t="s">
        <v>29</v>
      </c>
      <c r="B22" s="134" t="s">
        <v>64</v>
      </c>
      <c r="C22" s="135">
        <f t="shared" si="0"/>
        <v>3424.9495869989105</v>
      </c>
      <c r="D22" s="136">
        <f t="shared" si="1"/>
        <v>787752.68927447731</v>
      </c>
      <c r="E22" s="143">
        <v>219689</v>
      </c>
      <c r="F22" s="137">
        <f t="shared" si="2"/>
        <v>-568063.68927447731</v>
      </c>
      <c r="G22" s="144">
        <v>603218.44360127789</v>
      </c>
      <c r="H22" s="137">
        <f t="shared" si="3"/>
        <v>-184534.24567319942</v>
      </c>
      <c r="I22" s="138">
        <v>0.43477472481284701</v>
      </c>
      <c r="J22" s="139">
        <f>'[1]# and Assessed Value of Parcels'!G17/'[1]# and Assessed Value of Parcels'!O17</f>
        <v>0.78907203907203904</v>
      </c>
      <c r="K22" s="139">
        <f>'[1]# and Assessed Value of Parcels'!H17/'[1]# and Assessed Value of Parcels'!P17</f>
        <v>0.44402101784565112</v>
      </c>
      <c r="L22" s="139">
        <f t="shared" si="4"/>
        <v>0.61654652845884506</v>
      </c>
      <c r="M22" s="140">
        <f>'[1]Tax Levies and EQ Tax Rates'!I17</f>
        <v>15861222.08</v>
      </c>
      <c r="N22" s="140">
        <f t="shared" si="5"/>
        <v>9779181.4105387814</v>
      </c>
      <c r="O22" s="141">
        <v>7872</v>
      </c>
      <c r="P22" s="142">
        <f t="shared" si="6"/>
        <v>1242.2740612981177</v>
      </c>
    </row>
    <row r="23" spans="1:16" ht="15.75" customHeight="1" x14ac:dyDescent="0.25">
      <c r="A23" s="95" t="s">
        <v>29</v>
      </c>
      <c r="B23" s="96" t="s">
        <v>30</v>
      </c>
      <c r="C23" s="97">
        <f t="shared" si="0"/>
        <v>1545.946260146058</v>
      </c>
      <c r="D23" s="18">
        <f t="shared" si="1"/>
        <v>91834.174898040248</v>
      </c>
      <c r="E23" s="115">
        <v>164529.66666666666</v>
      </c>
      <c r="F23" s="99">
        <f t="shared" si="2"/>
        <v>72695.491768626409</v>
      </c>
      <c r="G23" s="116">
        <v>206835</v>
      </c>
      <c r="H23" s="99">
        <f t="shared" si="3"/>
        <v>115000.82510195975</v>
      </c>
      <c r="I23" s="117">
        <v>1.6834106277564524</v>
      </c>
      <c r="J23" s="101">
        <f>'# and Assessed Value of Parcels'!G18/'# and Assessed Value of Parcels'!O18</f>
        <v>0.84162883700821445</v>
      </c>
      <c r="K23" s="101">
        <f>'# and Assessed Value of Parcels'!H18/'# and Assessed Value of Parcels'!P18</f>
        <v>0.54365223337971258</v>
      </c>
      <c r="L23" s="101">
        <f t="shared" si="4"/>
        <v>0.69264053519396351</v>
      </c>
      <c r="M23" s="102">
        <f>'Tax Levies and EQ Tax Rates'!I18</f>
        <v>252218004</v>
      </c>
      <c r="N23" s="102">
        <f t="shared" si="5"/>
        <v>174696413.27611324</v>
      </c>
      <c r="O23" s="103">
        <v>311549</v>
      </c>
      <c r="P23" s="119">
        <f t="shared" si="6"/>
        <v>560.73495108670943</v>
      </c>
    </row>
    <row r="24" spans="1:16" ht="15.75" customHeight="1" x14ac:dyDescent="0.25">
      <c r="A24" s="95" t="s">
        <v>66</v>
      </c>
      <c r="B24" s="96" t="s">
        <v>67</v>
      </c>
      <c r="C24" s="97">
        <f t="shared" si="0"/>
        <v>1181.2888288182637</v>
      </c>
      <c r="D24" s="18">
        <f t="shared" si="1"/>
        <v>398624.01264605025</v>
      </c>
      <c r="E24" s="115">
        <v>60691.5</v>
      </c>
      <c r="F24" s="99">
        <f t="shared" si="2"/>
        <v>-337932.51264605025</v>
      </c>
      <c r="G24" s="116">
        <v>379827</v>
      </c>
      <c r="H24" s="99">
        <f t="shared" si="3"/>
        <v>-18797.012646050251</v>
      </c>
      <c r="I24" s="117">
        <v>0.2963416129843548</v>
      </c>
      <c r="J24" s="101">
        <f>'# and Assessed Value of Parcels'!G19/'# and Assessed Value of Parcels'!O19</f>
        <v>0.96383866481223923</v>
      </c>
      <c r="K24" s="101">
        <f>'# and Assessed Value of Parcels'!H19/'# and Assessed Value of Parcels'!P19</f>
        <v>0.93906348074760293</v>
      </c>
      <c r="L24" s="101">
        <f t="shared" si="4"/>
        <v>0.95145107277992103</v>
      </c>
      <c r="M24" s="102">
        <f>'Tax Levies and EQ Tax Rates'!I19</f>
        <v>2789807.14</v>
      </c>
      <c r="N24" s="102">
        <f t="shared" si="5"/>
        <v>2654364.9962020833</v>
      </c>
      <c r="O24" s="103">
        <v>6195</v>
      </c>
      <c r="P24" s="119">
        <f t="shared" si="6"/>
        <v>428.46892594061069</v>
      </c>
    </row>
    <row r="25" spans="1:16" ht="15.75" customHeight="1" x14ac:dyDescent="0.25">
      <c r="A25" s="95" t="s">
        <v>31</v>
      </c>
      <c r="B25" s="96" t="s">
        <v>32</v>
      </c>
      <c r="C25" s="97">
        <f t="shared" si="0"/>
        <v>2171.3074108430969</v>
      </c>
      <c r="D25" s="18">
        <f t="shared" si="1"/>
        <v>375428.29749741306</v>
      </c>
      <c r="E25" s="115">
        <v>228185.83333333334</v>
      </c>
      <c r="F25" s="99">
        <f t="shared" si="2"/>
        <v>-147242.46416407972</v>
      </c>
      <c r="G25" s="116">
        <v>380312</v>
      </c>
      <c r="H25" s="99">
        <f t="shared" si="3"/>
        <v>4883.702502586937</v>
      </c>
      <c r="I25" s="117">
        <v>0.5783547551734719</v>
      </c>
      <c r="J25" s="101">
        <f>'# and Assessed Value of Parcels'!G20/'# and Assessed Value of Parcels'!O20</f>
        <v>0.95667524385135538</v>
      </c>
      <c r="K25" s="101">
        <f>'# and Assessed Value of Parcels'!H20/'# and Assessed Value of Parcels'!P20</f>
        <v>0.81220548036186702</v>
      </c>
      <c r="L25" s="101">
        <f t="shared" si="4"/>
        <v>0.88444036210661126</v>
      </c>
      <c r="M25" s="102">
        <f>'Tax Levies and EQ Tax Rates'!I20</f>
        <v>44269379.890000001</v>
      </c>
      <c r="N25" s="102">
        <f t="shared" si="5"/>
        <v>39153626.380146734</v>
      </c>
      <c r="O25" s="103">
        <v>49715</v>
      </c>
      <c r="P25" s="119">
        <f t="shared" si="6"/>
        <v>787.561628887594</v>
      </c>
    </row>
    <row r="26" spans="1:16" ht="15.75" customHeight="1" x14ac:dyDescent="0.25">
      <c r="A26" s="95" t="s">
        <v>31</v>
      </c>
      <c r="B26" s="96" t="s">
        <v>33</v>
      </c>
      <c r="C26" s="97">
        <f t="shared" si="0"/>
        <v>1449.0293826018894</v>
      </c>
      <c r="D26" s="18">
        <f t="shared" si="1"/>
        <v>328051.35695822397</v>
      </c>
      <c r="E26" s="115">
        <v>131130.71428571429</v>
      </c>
      <c r="F26" s="99">
        <f t="shared" si="2"/>
        <v>-196920.64267250968</v>
      </c>
      <c r="G26" s="116">
        <v>375525</v>
      </c>
      <c r="H26" s="99">
        <f t="shared" si="3"/>
        <v>47473.643041776028</v>
      </c>
      <c r="I26" s="117">
        <v>0.44170808986667826</v>
      </c>
      <c r="J26" s="101">
        <f>'# and Assessed Value of Parcels'!G21/'# and Assessed Value of Parcels'!O21</f>
        <v>0.97122792306482886</v>
      </c>
      <c r="K26" s="101">
        <f>'# and Assessed Value of Parcels'!H21/'# and Assessed Value of Parcels'!P21</f>
        <v>0.88589383044965919</v>
      </c>
      <c r="L26" s="101">
        <f t="shared" si="4"/>
        <v>0.92856087675724397</v>
      </c>
      <c r="M26" s="102">
        <f>'Tax Levies and EQ Tax Rates'!I21</f>
        <v>37853002.5</v>
      </c>
      <c r="N26" s="102">
        <f t="shared" si="5"/>
        <v>35148817.189294145</v>
      </c>
      <c r="O26" s="103">
        <v>66876</v>
      </c>
      <c r="P26" s="119">
        <f t="shared" si="6"/>
        <v>525.58193057739913</v>
      </c>
    </row>
    <row r="27" spans="1:16" ht="15.75" customHeight="1" x14ac:dyDescent="0.25">
      <c r="A27" s="95" t="s">
        <v>31</v>
      </c>
      <c r="B27" s="96" t="s">
        <v>34</v>
      </c>
      <c r="C27" s="97">
        <f t="shared" si="0"/>
        <v>2290.0211427799873</v>
      </c>
      <c r="D27" s="18">
        <f t="shared" si="1"/>
        <v>281849.56615203078</v>
      </c>
      <c r="E27" s="115">
        <v>306079.8125</v>
      </c>
      <c r="F27" s="99">
        <f t="shared" si="2"/>
        <v>24230.246347969223</v>
      </c>
      <c r="G27" s="116">
        <v>324883</v>
      </c>
      <c r="H27" s="99">
        <f t="shared" si="3"/>
        <v>43033.433847969223</v>
      </c>
      <c r="I27" s="117">
        <v>0.81249766463885231</v>
      </c>
      <c r="J27" s="101">
        <f>'# and Assessed Value of Parcels'!G22/'# and Assessed Value of Parcels'!O22</f>
        <v>0.92460317460317465</v>
      </c>
      <c r="K27" s="101">
        <f>'# and Assessed Value of Parcels'!H22/'# and Assessed Value of Parcels'!P22</f>
        <v>0.82398227250676292</v>
      </c>
      <c r="L27" s="101">
        <f t="shared" si="4"/>
        <v>0.87429272355496879</v>
      </c>
      <c r="M27" s="102">
        <f>'Tax Levies and EQ Tax Rates'!I22</f>
        <v>13904912.58</v>
      </c>
      <c r="N27" s="102">
        <f t="shared" si="5"/>
        <v>12156963.890361948</v>
      </c>
      <c r="O27" s="103">
        <v>14636</v>
      </c>
      <c r="P27" s="119">
        <f t="shared" si="6"/>
        <v>830.62065389190684</v>
      </c>
    </row>
    <row r="28" spans="1:16" ht="15.75" customHeight="1" x14ac:dyDescent="0.25">
      <c r="A28" s="95" t="s">
        <v>31</v>
      </c>
      <c r="B28" s="96" t="s">
        <v>35</v>
      </c>
      <c r="C28" s="97">
        <f t="shared" si="0"/>
        <v>1959.3985022355007</v>
      </c>
      <c r="D28" s="18">
        <f t="shared" si="1"/>
        <v>289963.49921238964</v>
      </c>
      <c r="E28" s="115">
        <v>208675.08</v>
      </c>
      <c r="F28" s="99">
        <f t="shared" si="2"/>
        <v>-81288.41921238965</v>
      </c>
      <c r="G28" s="116">
        <v>330955</v>
      </c>
      <c r="H28" s="99">
        <f t="shared" si="3"/>
        <v>40991.500787610363</v>
      </c>
      <c r="I28" s="117">
        <v>0.67573970777621895</v>
      </c>
      <c r="J28" s="101">
        <f>'# and Assessed Value of Parcels'!G23/'# and Assessed Value of Parcels'!O23</f>
        <v>0.96279666452854396</v>
      </c>
      <c r="K28" s="101">
        <f>'# and Assessed Value of Parcels'!H23/'# and Assessed Value of Parcels'!P23</f>
        <v>0.85286917759426784</v>
      </c>
      <c r="L28" s="101">
        <f t="shared" si="4"/>
        <v>0.9078329210614059</v>
      </c>
      <c r="M28" s="102">
        <f>'Tax Levies and EQ Tax Rates'!I23</f>
        <v>35498457.659999996</v>
      </c>
      <c r="N28" s="102">
        <f t="shared" si="5"/>
        <v>32226668.510652438</v>
      </c>
      <c r="O28" s="103">
        <v>45345</v>
      </c>
      <c r="P28" s="119">
        <f t="shared" si="6"/>
        <v>710.69949301251381</v>
      </c>
    </row>
    <row r="29" spans="1:16" ht="15.75" customHeight="1" x14ac:dyDescent="0.25">
      <c r="A29" s="95" t="s">
        <v>31</v>
      </c>
      <c r="B29" s="96" t="s">
        <v>36</v>
      </c>
      <c r="C29" s="97">
        <f t="shared" si="0"/>
        <v>1682.9130880527994</v>
      </c>
      <c r="D29" s="18">
        <f t="shared" si="1"/>
        <v>238510.27948280034</v>
      </c>
      <c r="E29" s="115">
        <v>163469.66666666666</v>
      </c>
      <c r="F29" s="99">
        <f t="shared" si="2"/>
        <v>-75040.612816133682</v>
      </c>
      <c r="G29" s="116">
        <v>293470</v>
      </c>
      <c r="H29" s="99">
        <f t="shared" si="3"/>
        <v>54959.720517199661</v>
      </c>
      <c r="I29" s="117">
        <v>0.70559352481667736</v>
      </c>
      <c r="J29" s="101">
        <f>'# and Assessed Value of Parcels'!G24/'# and Assessed Value of Parcels'!O24</f>
        <v>0.95376862401402274</v>
      </c>
      <c r="K29" s="101">
        <f>'# and Assessed Value of Parcels'!H24/'# and Assessed Value of Parcels'!P24</f>
        <v>0.87694473065069911</v>
      </c>
      <c r="L29" s="101">
        <f t="shared" si="4"/>
        <v>0.91535667733236092</v>
      </c>
      <c r="M29" s="102">
        <f>'Tax Levies and EQ Tax Rates'!I24</f>
        <v>10748447</v>
      </c>
      <c r="N29" s="102">
        <f t="shared" si="5"/>
        <v>9838662.7324029822</v>
      </c>
      <c r="O29" s="103">
        <v>16118</v>
      </c>
      <c r="P29" s="119">
        <f t="shared" si="6"/>
        <v>610.41461300427977</v>
      </c>
    </row>
    <row r="30" spans="1:16" ht="15.75" customHeight="1" x14ac:dyDescent="0.25">
      <c r="A30" s="95" t="s">
        <v>31</v>
      </c>
      <c r="B30" s="96" t="s">
        <v>37</v>
      </c>
      <c r="C30" s="97">
        <f t="shared" si="0"/>
        <v>2315.5768893165305</v>
      </c>
      <c r="D30" s="18">
        <f t="shared" si="1"/>
        <v>280090.2946455928</v>
      </c>
      <c r="E30" s="115">
        <v>232839.67052023122</v>
      </c>
      <c r="F30" s="99">
        <f t="shared" si="2"/>
        <v>-47250.624125361588</v>
      </c>
      <c r="G30" s="116">
        <v>307620</v>
      </c>
      <c r="H30" s="99">
        <f t="shared" si="3"/>
        <v>27529.705354407197</v>
      </c>
      <c r="I30" s="117">
        <v>0.82672514313518219</v>
      </c>
      <c r="J30" s="101">
        <f>'# and Assessed Value of Parcels'!G25/'# and Assessed Value of Parcels'!O25</f>
        <v>0.95527753810756399</v>
      </c>
      <c r="K30" s="101">
        <f>'# and Assessed Value of Parcels'!H25/'# and Assessed Value of Parcels'!P25</f>
        <v>0.7164271010805654</v>
      </c>
      <c r="L30" s="101">
        <f t="shared" si="4"/>
        <v>0.8358523195940647</v>
      </c>
      <c r="M30" s="102">
        <f>'Tax Levies and EQ Tax Rates'!I25</f>
        <v>104139647.23</v>
      </c>
      <c r="N30" s="102">
        <f t="shared" si="5"/>
        <v>87045365.698903114</v>
      </c>
      <c r="O30" s="103">
        <v>103639</v>
      </c>
      <c r="P30" s="119">
        <f t="shared" si="6"/>
        <v>839.89005778619162</v>
      </c>
    </row>
    <row r="31" spans="1:16" ht="15.75" customHeight="1" x14ac:dyDescent="0.25">
      <c r="A31" s="95" t="s">
        <v>38</v>
      </c>
      <c r="B31" s="96" t="s">
        <v>39</v>
      </c>
      <c r="C31" s="97">
        <f t="shared" si="0"/>
        <v>3145.2064551244416</v>
      </c>
      <c r="D31" s="18">
        <f t="shared" si="1"/>
        <v>167857.81914903037</v>
      </c>
      <c r="E31" s="115">
        <v>134718.75</v>
      </c>
      <c r="F31" s="99">
        <f t="shared" si="2"/>
        <v>-33139.069149030373</v>
      </c>
      <c r="G31" s="116">
        <v>183891</v>
      </c>
      <c r="H31" s="99">
        <f t="shared" si="3"/>
        <v>16033.180850969627</v>
      </c>
      <c r="I31" s="117">
        <v>1.8737324666013986</v>
      </c>
      <c r="J31" s="101">
        <f>'# and Assessed Value of Parcels'!G26/'# and Assessed Value of Parcels'!O26</f>
        <v>0.96441281138790036</v>
      </c>
      <c r="K31" s="101">
        <f>'# and Assessed Value of Parcels'!H26/'# and Assessed Value of Parcels'!P26</f>
        <v>0.88303144331890093</v>
      </c>
      <c r="L31" s="101">
        <f t="shared" si="4"/>
        <v>0.92372212735340065</v>
      </c>
      <c r="M31" s="102">
        <f>'Tax Levies and EQ Tax Rates'!I26</f>
        <v>12047538.390000001</v>
      </c>
      <c r="N31" s="102">
        <f t="shared" si="5"/>
        <v>11128577.790982563</v>
      </c>
      <c r="O31" s="103">
        <v>9755</v>
      </c>
      <c r="P31" s="119">
        <f t="shared" si="6"/>
        <v>1140.8075644267108</v>
      </c>
    </row>
    <row r="32" spans="1:16" ht="15.75" customHeight="1" x14ac:dyDescent="0.25">
      <c r="A32" s="95" t="s">
        <v>38</v>
      </c>
      <c r="B32" s="96" t="s">
        <v>40</v>
      </c>
      <c r="C32" s="97">
        <f t="shared" si="0"/>
        <v>1593.4249058801668</v>
      </c>
      <c r="D32" s="18">
        <f t="shared" si="1"/>
        <v>477471.66876376444</v>
      </c>
      <c r="E32" s="115">
        <v>292062.5</v>
      </c>
      <c r="F32" s="99">
        <f t="shared" si="2"/>
        <v>-185409.16876376444</v>
      </c>
      <c r="G32" s="116">
        <v>480487</v>
      </c>
      <c r="H32" s="99">
        <f t="shared" si="3"/>
        <v>3015.3312362355646</v>
      </c>
      <c r="I32" s="117">
        <v>0.33372135146903037</v>
      </c>
      <c r="J32" s="101">
        <f>'# and Assessed Value of Parcels'!G27/'# and Assessed Value of Parcels'!O27</f>
        <v>0.97272104180945851</v>
      </c>
      <c r="K32" s="101">
        <f>'# and Assessed Value of Parcels'!H27/'# and Assessed Value of Parcels'!P27</f>
        <v>0.92205750411890763</v>
      </c>
      <c r="L32" s="101">
        <f t="shared" si="4"/>
        <v>0.94738927296418307</v>
      </c>
      <c r="M32" s="102">
        <f>'Tax Levies and EQ Tax Rates'!I27</f>
        <v>24954149.290000003</v>
      </c>
      <c r="N32" s="102">
        <f t="shared" si="5"/>
        <v>23641293.353292789</v>
      </c>
      <c r="O32" s="103">
        <v>40905</v>
      </c>
      <c r="P32" s="119">
        <f t="shared" si="6"/>
        <v>577.95607757713697</v>
      </c>
    </row>
    <row r="33" spans="1:16" ht="15.75" customHeight="1" x14ac:dyDescent="0.25">
      <c r="A33" s="95" t="s">
        <v>38</v>
      </c>
      <c r="B33" s="96" t="s">
        <v>68</v>
      </c>
      <c r="C33" s="97">
        <f t="shared" si="0"/>
        <v>2094.8250910998986</v>
      </c>
      <c r="D33" s="18">
        <f t="shared" si="1"/>
        <v>517601.1702268818</v>
      </c>
      <c r="E33" s="115">
        <v>899998.8</v>
      </c>
      <c r="F33" s="99">
        <f t="shared" si="2"/>
        <v>382397.62977311824</v>
      </c>
      <c r="G33" s="116">
        <v>542012</v>
      </c>
      <c r="H33" s="99">
        <f t="shared" si="3"/>
        <v>24410.829773118196</v>
      </c>
      <c r="I33" s="117">
        <v>0.4047179974847559</v>
      </c>
      <c r="J33" s="101">
        <f>'# and Assessed Value of Parcels'!G28/'# and Assessed Value of Parcels'!O28</f>
        <v>0.95530168589174802</v>
      </c>
      <c r="K33" s="101">
        <f>'# and Assessed Value of Parcels'!H28/'# and Assessed Value of Parcels'!P28</f>
        <v>0.88451081022686973</v>
      </c>
      <c r="L33" s="101">
        <f t="shared" si="4"/>
        <v>0.91990624805930887</v>
      </c>
      <c r="M33" s="102">
        <f>'Tax Levies and EQ Tax Rates'!I28</f>
        <v>22856408.080000002</v>
      </c>
      <c r="N33" s="102">
        <f t="shared" si="5"/>
        <v>21025752.600985274</v>
      </c>
      <c r="O33" s="103">
        <v>27672</v>
      </c>
      <c r="P33" s="119">
        <f t="shared" si="6"/>
        <v>759.82049006162447</v>
      </c>
    </row>
    <row r="34" spans="1:16" ht="15.75" customHeight="1" x14ac:dyDescent="0.25">
      <c r="A34" s="95" t="s">
        <v>38</v>
      </c>
      <c r="B34" s="96" t="s">
        <v>69</v>
      </c>
      <c r="C34" s="97">
        <f t="shared" si="0"/>
        <v>7782.1827567960509</v>
      </c>
      <c r="D34" s="18">
        <f t="shared" si="1"/>
        <v>1515173.6314866368</v>
      </c>
      <c r="E34" s="115">
        <v>1438976</v>
      </c>
      <c r="F34" s="99">
        <f t="shared" si="2"/>
        <v>-76197.631486636819</v>
      </c>
      <c r="G34" s="116">
        <v>697318</v>
      </c>
      <c r="H34" s="99">
        <f t="shared" si="3"/>
        <v>-817855.63148663682</v>
      </c>
      <c r="I34" s="117">
        <v>0.51361656479993245</v>
      </c>
      <c r="J34" s="101">
        <f>'# and Assessed Value of Parcels'!G29/'# and Assessed Value of Parcels'!O29</f>
        <v>0.93580470162748641</v>
      </c>
      <c r="K34" s="101">
        <f>'# and Assessed Value of Parcels'!H29/'# and Assessed Value of Parcels'!P29</f>
        <v>0.81959946110420667</v>
      </c>
      <c r="L34" s="101">
        <f t="shared" si="4"/>
        <v>0.87770208136584649</v>
      </c>
      <c r="M34" s="102">
        <f>'Tax Levies and EQ Tax Rates'!I29</f>
        <v>4660000</v>
      </c>
      <c r="N34" s="102">
        <f t="shared" si="5"/>
        <v>4090091.6991648446</v>
      </c>
      <c r="O34" s="103">
        <v>1449</v>
      </c>
      <c r="P34" s="119">
        <f t="shared" si="6"/>
        <v>2822.6995853449585</v>
      </c>
    </row>
    <row r="35" spans="1:16" ht="15.75" customHeight="1" x14ac:dyDescent="0.25">
      <c r="A35" s="95" t="s">
        <v>70</v>
      </c>
      <c r="B35" s="96" t="s">
        <v>71</v>
      </c>
      <c r="C35" s="97">
        <f t="shared" si="0"/>
        <v>2175.9227118550502</v>
      </c>
      <c r="D35" s="18">
        <f t="shared" si="1"/>
        <v>470904.26340323186</v>
      </c>
      <c r="E35" s="115">
        <v>140610.5</v>
      </c>
      <c r="F35" s="99">
        <f t="shared" si="2"/>
        <v>-330293.76340323186</v>
      </c>
      <c r="G35" s="116">
        <v>441101</v>
      </c>
      <c r="H35" s="99">
        <f t="shared" si="3"/>
        <v>-29803.26340323186</v>
      </c>
      <c r="I35" s="117">
        <v>0.46207326647026414</v>
      </c>
      <c r="J35" s="101">
        <f>'# and Assessed Value of Parcels'!G30/'# and Assessed Value of Parcels'!O30</f>
        <v>0.93611412622111956</v>
      </c>
      <c r="K35" s="101">
        <f>'# and Assessed Value of Parcels'!H30/'# and Assessed Value of Parcels'!P30</f>
        <v>0.80900620679671975</v>
      </c>
      <c r="L35" s="101">
        <f t="shared" si="4"/>
        <v>0.87256016650891965</v>
      </c>
      <c r="M35" s="102">
        <f>'Tax Levies and EQ Tax Rates'!I30</f>
        <v>15473379.300000001</v>
      </c>
      <c r="N35" s="102">
        <f t="shared" si="5"/>
        <v>13501454.418463672</v>
      </c>
      <c r="O35" s="103">
        <v>17107</v>
      </c>
      <c r="P35" s="119">
        <f t="shared" si="6"/>
        <v>789.2356589971165</v>
      </c>
    </row>
    <row r="36" spans="1:16" ht="15.75" customHeight="1" x14ac:dyDescent="0.25">
      <c r="A36" s="95" t="s">
        <v>70</v>
      </c>
      <c r="B36" s="96" t="s">
        <v>72</v>
      </c>
      <c r="C36" s="97">
        <f t="shared" si="0"/>
        <v>3346.2671180668435</v>
      </c>
      <c r="D36" s="18">
        <f t="shared" si="1"/>
        <v>342026.32810137881</v>
      </c>
      <c r="E36" s="115">
        <v>222371.74166666667</v>
      </c>
      <c r="F36" s="99">
        <f t="shared" si="2"/>
        <v>-119654.58643471214</v>
      </c>
      <c r="G36" s="116">
        <v>347978</v>
      </c>
      <c r="H36" s="99">
        <f t="shared" si="3"/>
        <v>5951.6718986211927</v>
      </c>
      <c r="I36" s="117">
        <v>0.97836536053884959</v>
      </c>
      <c r="J36" s="101">
        <f>'# and Assessed Value of Parcels'!G31/'# and Assessed Value of Parcels'!O31</f>
        <v>0.97167216721672167</v>
      </c>
      <c r="K36" s="101">
        <f>'# and Assessed Value of Parcels'!H31/'# and Assessed Value of Parcels'!P31</f>
        <v>0.87191037944018179</v>
      </c>
      <c r="L36" s="101">
        <f t="shared" si="4"/>
        <v>0.92179127332845168</v>
      </c>
      <c r="M36" s="102">
        <f>'Tax Levies and EQ Tax Rates'!I31</f>
        <v>14371926.5</v>
      </c>
      <c r="N36" s="102">
        <f t="shared" si="5"/>
        <v>13247916.428617917</v>
      </c>
      <c r="O36" s="103">
        <v>10915</v>
      </c>
      <c r="P36" s="119">
        <f t="shared" si="6"/>
        <v>1213.7348995527179</v>
      </c>
    </row>
    <row r="37" spans="1:16" ht="15.75" customHeight="1" x14ac:dyDescent="0.25">
      <c r="A37" s="95" t="s">
        <v>41</v>
      </c>
      <c r="B37" s="96" t="s">
        <v>73</v>
      </c>
      <c r="C37" s="97">
        <f t="shared" si="0"/>
        <v>2478.0056668424609</v>
      </c>
      <c r="D37" s="18">
        <f t="shared" si="1"/>
        <v>306640.39656784356</v>
      </c>
      <c r="E37" s="115">
        <v>171348.73033707865</v>
      </c>
      <c r="F37" s="99">
        <f t="shared" si="2"/>
        <v>-135291.66623076491</v>
      </c>
      <c r="G37" s="116">
        <v>349441</v>
      </c>
      <c r="H37" s="99">
        <f t="shared" si="3"/>
        <v>42800.603432156437</v>
      </c>
      <c r="I37" s="117">
        <v>0.80811455195669468</v>
      </c>
      <c r="J37" s="101">
        <f>'# and Assessed Value of Parcels'!G32/'# and Assessed Value of Parcels'!O32</f>
        <v>0.93861280892904597</v>
      </c>
      <c r="K37" s="101">
        <f>'# and Assessed Value of Parcels'!H32/'# and Assessed Value of Parcels'!P32</f>
        <v>0.81106844376357135</v>
      </c>
      <c r="L37" s="101">
        <f t="shared" si="4"/>
        <v>0.87484062634630866</v>
      </c>
      <c r="M37" s="102">
        <f>'Tax Levies and EQ Tax Rates'!I32</f>
        <v>13725969.970000001</v>
      </c>
      <c r="N37" s="102">
        <f t="shared" si="5"/>
        <v>12008036.165765423</v>
      </c>
      <c r="O37" s="103">
        <v>13360</v>
      </c>
      <c r="P37" s="119">
        <f t="shared" si="6"/>
        <v>898.8051022279509</v>
      </c>
    </row>
    <row r="38" spans="1:16" ht="15.75" customHeight="1" x14ac:dyDescent="0.25">
      <c r="A38" s="95" t="s">
        <v>41</v>
      </c>
      <c r="B38" s="96" t="s">
        <v>42</v>
      </c>
      <c r="C38" s="97">
        <f t="shared" si="0"/>
        <v>2099.9795535676881</v>
      </c>
      <c r="D38" s="18">
        <f t="shared" si="1"/>
        <v>106380.68765180689</v>
      </c>
      <c r="E38" s="115">
        <v>127704.12</v>
      </c>
      <c r="F38" s="99">
        <f t="shared" si="2"/>
        <v>21323.432348193106</v>
      </c>
      <c r="G38" s="116">
        <v>259020</v>
      </c>
      <c r="H38" s="99">
        <f t="shared" si="3"/>
        <v>152639.31234819311</v>
      </c>
      <c r="I38" s="117">
        <v>1.9740232930634001</v>
      </c>
      <c r="J38" s="101">
        <f>'# and Assessed Value of Parcels'!G33/'# and Assessed Value of Parcels'!O33</f>
        <v>0.8215948144603471</v>
      </c>
      <c r="K38" s="101">
        <f>'# and Assessed Value of Parcels'!H33/'# and Assessed Value of Parcels'!P33</f>
        <v>0.65337602486817126</v>
      </c>
      <c r="L38" s="101">
        <f t="shared" si="4"/>
        <v>0.73748541966425918</v>
      </c>
      <c r="M38" s="102">
        <f>'Tax Levies and EQ Tax Rates'!I33</f>
        <v>164974488.69999999</v>
      </c>
      <c r="N38" s="102">
        <f t="shared" si="5"/>
        <v>121666280.03281608</v>
      </c>
      <c r="O38" s="103">
        <v>159732</v>
      </c>
      <c r="P38" s="119">
        <f t="shared" si="6"/>
        <v>761.69008109092783</v>
      </c>
    </row>
    <row r="39" spans="1:16" ht="15.75" customHeight="1" x14ac:dyDescent="0.25">
      <c r="A39" s="95" t="s">
        <v>41</v>
      </c>
      <c r="B39" s="96" t="s">
        <v>43</v>
      </c>
      <c r="C39" s="97">
        <f t="shared" si="0"/>
        <v>2449.0170665294818</v>
      </c>
      <c r="D39" s="18">
        <f t="shared" si="1"/>
        <v>289879.62499129405</v>
      </c>
      <c r="E39" s="115">
        <v>277978.01639344264</v>
      </c>
      <c r="F39" s="99">
        <f t="shared" si="2"/>
        <v>-11901.608597851417</v>
      </c>
      <c r="G39" s="116">
        <v>297010</v>
      </c>
      <c r="H39" s="99">
        <f t="shared" si="3"/>
        <v>7130.3750087059452</v>
      </c>
      <c r="I39" s="117">
        <v>0.84483932480698942</v>
      </c>
      <c r="J39" s="101">
        <f>'# and Assessed Value of Parcels'!G34/'# and Assessed Value of Parcels'!O34</f>
        <v>0.95521999479302266</v>
      </c>
      <c r="K39" s="101">
        <f>'# and Assessed Value of Parcels'!H34/'# and Assessed Value of Parcels'!P34</f>
        <v>0.87552226480698236</v>
      </c>
      <c r="L39" s="101">
        <f t="shared" si="4"/>
        <v>0.91537112980000246</v>
      </c>
      <c r="M39" s="102">
        <f>'Tax Levies and EQ Tax Rates'!I34</f>
        <v>10797816</v>
      </c>
      <c r="N39" s="102">
        <f t="shared" si="5"/>
        <v>9884009.0312925428</v>
      </c>
      <c r="O39" s="103">
        <v>11127</v>
      </c>
      <c r="P39" s="119">
        <f t="shared" si="6"/>
        <v>888.29055731936216</v>
      </c>
    </row>
    <row r="40" spans="1:16" ht="15.75" customHeight="1" x14ac:dyDescent="0.25">
      <c r="A40" s="95" t="s">
        <v>41</v>
      </c>
      <c r="B40" s="96" t="s">
        <v>44</v>
      </c>
      <c r="C40" s="97">
        <f t="shared" si="0"/>
        <v>2768.14160556961</v>
      </c>
      <c r="D40" s="18">
        <f t="shared" si="1"/>
        <v>467247.34300694504</v>
      </c>
      <c r="E40" s="115">
        <v>153319.37435897437</v>
      </c>
      <c r="F40" s="99">
        <f t="shared" si="2"/>
        <v>-313927.9686479707</v>
      </c>
      <c r="G40" s="116">
        <v>477846</v>
      </c>
      <c r="H40" s="99">
        <f t="shared" si="3"/>
        <v>10598.656993054959</v>
      </c>
      <c r="I40" s="117">
        <v>0.59243602922498906</v>
      </c>
      <c r="J40" s="101">
        <f>'# and Assessed Value of Parcels'!G35/'# and Assessed Value of Parcels'!O35</f>
        <v>0.95973428121904314</v>
      </c>
      <c r="K40" s="101">
        <f>'# and Assessed Value of Parcels'!H35/'# and Assessed Value of Parcels'!P35</f>
        <v>0.74630979334649838</v>
      </c>
      <c r="L40" s="101">
        <f t="shared" si="4"/>
        <v>0.85302203728277082</v>
      </c>
      <c r="M40" s="102">
        <f>'Tax Levies and EQ Tax Rates'!I35</f>
        <v>64546529</v>
      </c>
      <c r="N40" s="102">
        <f t="shared" si="5"/>
        <v>55059611.667111449</v>
      </c>
      <c r="O40" s="103">
        <v>54838</v>
      </c>
      <c r="P40" s="119">
        <f t="shared" si="6"/>
        <v>1004.0412062276423</v>
      </c>
    </row>
    <row r="41" spans="1:16" ht="15.75" customHeight="1" x14ac:dyDescent="0.25">
      <c r="A41" s="95" t="s">
        <v>41</v>
      </c>
      <c r="B41" s="96" t="s">
        <v>74</v>
      </c>
      <c r="C41" s="97">
        <f t="shared" si="0"/>
        <v>2578.0878057154682</v>
      </c>
      <c r="D41" s="18">
        <f t="shared" si="1"/>
        <v>334002.09247291996</v>
      </c>
      <c r="E41" s="115">
        <v>297028</v>
      </c>
      <c r="F41" s="99">
        <f t="shared" si="2"/>
        <v>-36974.092472919961</v>
      </c>
      <c r="G41" s="116">
        <v>388080</v>
      </c>
      <c r="H41" s="99">
        <f t="shared" si="3"/>
        <v>54077.907527080039</v>
      </c>
      <c r="I41" s="117">
        <v>0.77187774083316352</v>
      </c>
      <c r="J41" s="101">
        <f>'# and Assessed Value of Parcels'!G36/'# and Assessed Value of Parcels'!O36</f>
        <v>0.93500511770726713</v>
      </c>
      <c r="K41" s="101">
        <f>'# and Assessed Value of Parcels'!H36/'# and Assessed Value of Parcels'!P36</f>
        <v>0.79393218764737428</v>
      </c>
      <c r="L41" s="101">
        <f t="shared" si="4"/>
        <v>0.86446865267732065</v>
      </c>
      <c r="M41" s="102">
        <f>'Tax Levies and EQ Tax Rates'!I36</f>
        <v>14585806</v>
      </c>
      <c r="N41" s="102">
        <f t="shared" si="5"/>
        <v>12608972.06103278</v>
      </c>
      <c r="O41" s="103">
        <v>13484</v>
      </c>
      <c r="P41" s="119">
        <f t="shared" si="6"/>
        <v>935.10620446698158</v>
      </c>
    </row>
    <row r="42" spans="1:16" ht="15.75" customHeight="1" x14ac:dyDescent="0.25">
      <c r="A42" s="95" t="s">
        <v>45</v>
      </c>
      <c r="B42" s="96" t="s">
        <v>75</v>
      </c>
      <c r="C42" s="97">
        <f t="shared" si="0"/>
        <v>1128.9705131074661</v>
      </c>
      <c r="D42" s="18">
        <f t="shared" si="1"/>
        <v>491634.15018799156</v>
      </c>
      <c r="E42" s="115">
        <v>135998.5</v>
      </c>
      <c r="F42" s="99">
        <f t="shared" si="2"/>
        <v>-355635.65018799156</v>
      </c>
      <c r="G42" s="116">
        <v>465899</v>
      </c>
      <c r="H42" s="99">
        <f t="shared" si="3"/>
        <v>-25735.15018799156</v>
      </c>
      <c r="I42" s="117">
        <v>0.22963630835566837</v>
      </c>
      <c r="J42" s="101">
        <f>'# and Assessed Value of Parcels'!G37/'# and Assessed Value of Parcels'!O37</f>
        <v>0.96962008847254744</v>
      </c>
      <c r="K42" s="101">
        <f>'# and Assessed Value of Parcels'!H37/'# and Assessed Value of Parcels'!P37</f>
        <v>0.74155473878526956</v>
      </c>
      <c r="L42" s="101">
        <f t="shared" si="4"/>
        <v>0.85558741362890856</v>
      </c>
      <c r="M42" s="102">
        <f>'Tax Levies and EQ Tax Rates'!I37</f>
        <v>22005035.620000001</v>
      </c>
      <c r="N42" s="102">
        <f t="shared" si="5"/>
        <v>18827231.512927808</v>
      </c>
      <c r="O42" s="103">
        <v>45977</v>
      </c>
      <c r="P42" s="119">
        <f t="shared" si="6"/>
        <v>409.49238777927678</v>
      </c>
    </row>
    <row r="43" spans="1:16" ht="15.75" customHeight="1" x14ac:dyDescent="0.25">
      <c r="A43" s="95" t="s">
        <v>45</v>
      </c>
      <c r="B43" s="96" t="s">
        <v>46</v>
      </c>
      <c r="C43" s="97">
        <f t="shared" si="0"/>
        <v>1514.1769894877168</v>
      </c>
      <c r="D43" s="18">
        <f t="shared" si="1"/>
        <v>413617.92833590752</v>
      </c>
      <c r="E43" s="115">
        <v>141634.5</v>
      </c>
      <c r="F43" s="99">
        <f t="shared" si="2"/>
        <v>-271983.42833590752</v>
      </c>
      <c r="G43" s="116">
        <v>369484</v>
      </c>
      <c r="H43" s="99">
        <f t="shared" si="3"/>
        <v>-44133.92833590752</v>
      </c>
      <c r="I43" s="117">
        <v>0.36608108250521071</v>
      </c>
      <c r="J43" s="101">
        <f>'# and Assessed Value of Parcels'!G38/'# and Assessed Value of Parcels'!O38</f>
        <v>0.966461229754909</v>
      </c>
      <c r="K43" s="101">
        <f>'# and Assessed Value of Parcels'!H38/'# and Assessed Value of Parcels'!P38</f>
        <v>0.74002784885113326</v>
      </c>
      <c r="L43" s="101">
        <f t="shared" si="4"/>
        <v>0.85324453930302113</v>
      </c>
      <c r="M43" s="102">
        <f>'Tax Levies and EQ Tax Rates'!I38</f>
        <v>44004169</v>
      </c>
      <c r="N43" s="102">
        <f t="shared" si="5"/>
        <v>37546316.905817285</v>
      </c>
      <c r="O43" s="103">
        <v>68364</v>
      </c>
      <c r="P43" s="119">
        <f t="shared" si="6"/>
        <v>549.21182063391973</v>
      </c>
    </row>
    <row r="44" spans="1:16" ht="15.75" customHeight="1" x14ac:dyDescent="0.25">
      <c r="A44" s="95" t="s">
        <v>45</v>
      </c>
      <c r="B44" s="96" t="s">
        <v>47</v>
      </c>
      <c r="C44" s="97">
        <f t="shared" si="0"/>
        <v>2179.8075441054948</v>
      </c>
      <c r="D44" s="18">
        <f t="shared" si="1"/>
        <v>218168.66290019784</v>
      </c>
      <c r="E44" s="115">
        <v>194522.93251533742</v>
      </c>
      <c r="F44" s="99">
        <f t="shared" si="2"/>
        <v>-23645.730384860421</v>
      </c>
      <c r="G44" s="116">
        <v>253304</v>
      </c>
      <c r="H44" s="99">
        <f t="shared" si="3"/>
        <v>35135.337099802156</v>
      </c>
      <c r="I44" s="117">
        <v>0.99913870082370937</v>
      </c>
      <c r="J44" s="101">
        <f>'# and Assessed Value of Parcels'!G39/'# and Assessed Value of Parcels'!O39</f>
        <v>0.95111773472429206</v>
      </c>
      <c r="K44" s="101">
        <f>'# and Assessed Value of Parcels'!H39/'# and Assessed Value of Parcels'!P39</f>
        <v>0.86385134818830744</v>
      </c>
      <c r="L44" s="101">
        <f t="shared" si="4"/>
        <v>0.90748454145629975</v>
      </c>
      <c r="M44" s="102">
        <f>'Tax Levies and EQ Tax Rates'!I39</f>
        <v>9542787.1500000004</v>
      </c>
      <c r="N44" s="102">
        <f t="shared" si="5"/>
        <v>8659931.8210328203</v>
      </c>
      <c r="O44" s="103">
        <v>10953</v>
      </c>
      <c r="P44" s="119">
        <f t="shared" si="6"/>
        <v>790.64473852212359</v>
      </c>
    </row>
    <row r="45" spans="1:16" ht="15.75" customHeight="1" x14ac:dyDescent="0.25">
      <c r="A45" s="95" t="s">
        <v>48</v>
      </c>
      <c r="B45" s="96" t="s">
        <v>49</v>
      </c>
      <c r="C45" s="97">
        <f t="shared" si="0"/>
        <v>2837.4456829776777</v>
      </c>
      <c r="D45" s="18">
        <f t="shared" si="1"/>
        <v>306230.6666077954</v>
      </c>
      <c r="E45" s="115">
        <v>208675.72</v>
      </c>
      <c r="F45" s="99">
        <f t="shared" si="2"/>
        <v>-97554.946607795398</v>
      </c>
      <c r="G45" s="116">
        <v>326674</v>
      </c>
      <c r="H45" s="99">
        <f t="shared" si="3"/>
        <v>20443.3333922046</v>
      </c>
      <c r="I45" s="117">
        <v>0.92657137000969703</v>
      </c>
      <c r="J45" s="101">
        <f>'# and Assessed Value of Parcels'!G40/'# and Assessed Value of Parcels'!O40</f>
        <v>0.90298507462686572</v>
      </c>
      <c r="K45" s="101">
        <f>'# and Assessed Value of Parcels'!H40/'# and Assessed Value of Parcels'!P40</f>
        <v>0.53546516271707922</v>
      </c>
      <c r="L45" s="101">
        <f t="shared" si="4"/>
        <v>0.71922511867197247</v>
      </c>
      <c r="M45" s="102">
        <f>'Tax Levies and EQ Tax Rates'!I40</f>
        <v>62587105.100000001</v>
      </c>
      <c r="N45" s="102">
        <f t="shared" si="5"/>
        <v>45014218.092882715</v>
      </c>
      <c r="O45" s="103">
        <v>43738</v>
      </c>
      <c r="P45" s="119">
        <f t="shared" si="6"/>
        <v>1029.1787025671663</v>
      </c>
    </row>
    <row r="46" spans="1:16" ht="15.75" customHeight="1" x14ac:dyDescent="0.25">
      <c r="A46" s="95" t="s">
        <v>48</v>
      </c>
      <c r="B46" s="96" t="s">
        <v>50</v>
      </c>
      <c r="C46" s="97">
        <f t="shared" si="0"/>
        <v>3051.4642409491703</v>
      </c>
      <c r="D46" s="18">
        <f t="shared" si="1"/>
        <v>228756.41523300708</v>
      </c>
      <c r="E46" s="115">
        <v>264304.5588235294</v>
      </c>
      <c r="F46" s="99">
        <f t="shared" si="2"/>
        <v>35548.143590522319</v>
      </c>
      <c r="G46" s="116">
        <v>271615</v>
      </c>
      <c r="H46" s="99">
        <f t="shared" si="3"/>
        <v>42858.584766992921</v>
      </c>
      <c r="I46" s="117">
        <v>1.3339360287845938</v>
      </c>
      <c r="J46" s="101">
        <f>'# and Assessed Value of Parcels'!G41/'# and Assessed Value of Parcels'!O41</f>
        <v>0.94367816091954027</v>
      </c>
      <c r="K46" s="101">
        <f>'# and Assessed Value of Parcels'!H41/'# and Assessed Value of Parcels'!P41</f>
        <v>0.73460247640646714</v>
      </c>
      <c r="L46" s="101">
        <f t="shared" si="4"/>
        <v>0.83914031866300376</v>
      </c>
      <c r="M46" s="102">
        <f>'Tax Levies and EQ Tax Rates'!I41</f>
        <v>38983658</v>
      </c>
      <c r="N46" s="102">
        <f t="shared" si="5"/>
        <v>32712759.196769554</v>
      </c>
      <c r="O46" s="103">
        <v>29556</v>
      </c>
      <c r="P46" s="119">
        <f t="shared" si="6"/>
        <v>1106.8060358901596</v>
      </c>
    </row>
    <row r="47" spans="1:16" ht="15.75" customHeight="1" x14ac:dyDescent="0.25">
      <c r="A47" s="105" t="s">
        <v>76</v>
      </c>
      <c r="B47" s="106" t="s">
        <v>77</v>
      </c>
      <c r="C47" s="107">
        <f t="shared" si="0"/>
        <v>1243.1437451652619</v>
      </c>
      <c r="D47" s="108">
        <f t="shared" si="1"/>
        <v>433268.59642369265</v>
      </c>
      <c r="E47" s="147">
        <v>114179.20454545454</v>
      </c>
      <c r="F47" s="109">
        <f t="shared" si="2"/>
        <v>-319089.39187823812</v>
      </c>
      <c r="G47" s="116">
        <v>240185</v>
      </c>
      <c r="H47" s="109">
        <f t="shared" si="3"/>
        <v>-193083.59642369265</v>
      </c>
      <c r="I47" s="121">
        <v>0.28692218993633078</v>
      </c>
      <c r="J47" s="111">
        <f>'# and Assessed Value of Parcels'!G42/'# and Assessed Value of Parcels'!O42</f>
        <v>0.95134061569016881</v>
      </c>
      <c r="K47" s="111">
        <f>'# and Assessed Value of Parcels'!H42/'# and Assessed Value of Parcels'!P42</f>
        <v>0.44542234351045923</v>
      </c>
      <c r="L47" s="111">
        <f t="shared" si="4"/>
        <v>0.69838147960031405</v>
      </c>
      <c r="M47" s="112">
        <f>'Tax Levies and EQ Tax Rates'!I42</f>
        <v>1616042.28</v>
      </c>
      <c r="N47" s="112">
        <f t="shared" si="5"/>
        <v>1128613.998603065</v>
      </c>
      <c r="O47" s="113">
        <v>2503</v>
      </c>
      <c r="P47" s="122">
        <f t="shared" si="6"/>
        <v>450.90451402439675</v>
      </c>
    </row>
    <row r="48" spans="1:16" ht="15.75" customHeight="1" x14ac:dyDescent="0.25">
      <c r="C48" s="116">
        <f>AVERAGE(C10:C47)</f>
        <v>2219.9955459795374</v>
      </c>
      <c r="D48" s="116">
        <f t="shared" ref="D48:P48" si="7">AVERAGE(D10:D47)</f>
        <v>359859.60606091295</v>
      </c>
      <c r="E48" s="152">
        <f t="shared" si="7"/>
        <v>248533.53131676925</v>
      </c>
      <c r="F48" s="116">
        <f t="shared" si="7"/>
        <v>-111326.0747441437</v>
      </c>
      <c r="G48" s="116">
        <f t="shared" si="7"/>
        <v>345015.35377898096</v>
      </c>
      <c r="H48" s="116">
        <f t="shared" si="7"/>
        <v>-14844.252281931924</v>
      </c>
      <c r="I48" s="146">
        <f t="shared" si="7"/>
        <v>0.77531690390378416</v>
      </c>
      <c r="J48" s="149">
        <f t="shared" si="7"/>
        <v>0.94289015605878534</v>
      </c>
      <c r="K48" s="149">
        <f t="shared" si="7"/>
        <v>0.80603558289215715</v>
      </c>
      <c r="L48" s="149">
        <f t="shared" si="7"/>
        <v>0.87446286947547125</v>
      </c>
      <c r="M48" s="150">
        <f t="shared" si="7"/>
        <v>31129966.096578944</v>
      </c>
      <c r="N48" s="116">
        <f t="shared" si="7"/>
        <v>25171474.147470411</v>
      </c>
      <c r="O48" s="153">
        <f t="shared" si="7"/>
        <v>35254.131578947367</v>
      </c>
      <c r="P48" s="116">
        <f t="shared" si="7"/>
        <v>805.22145302123226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A8:B8"/>
    <mergeCell ref="C8:D8"/>
    <mergeCell ref="E8:H8"/>
    <mergeCell ref="I8:P8"/>
  </mergeCells>
  <pageMargins left="0.7" right="0.7" top="0.75" bottom="0.75" header="0" footer="0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A533-DD33-4FDF-8A6A-8E8D4ACEB215}">
  <dimension ref="A1:AB1000"/>
  <sheetViews>
    <sheetView topLeftCell="A6" zoomScale="70" zoomScaleNormal="70" workbookViewId="0">
      <selection activeCell="H9" sqref="H9"/>
    </sheetView>
  </sheetViews>
  <sheetFormatPr defaultColWidth="14.42578125" defaultRowHeight="15" x14ac:dyDescent="0.25"/>
  <cols>
    <col min="1" max="2" width="20.85546875" customWidth="1"/>
    <col min="3" max="19" width="15.85546875" customWidth="1"/>
    <col min="20" max="28" width="11.42578125" customWidth="1"/>
  </cols>
  <sheetData>
    <row r="1" spans="1:28" x14ac:dyDescent="0.25">
      <c r="A1" s="154" t="s">
        <v>197</v>
      </c>
    </row>
    <row r="3" spans="1:28" x14ac:dyDescent="0.25">
      <c r="A3" s="219" t="s">
        <v>195</v>
      </c>
      <c r="B3" s="209"/>
    </row>
    <row r="4" spans="1:28" x14ac:dyDescent="0.25">
      <c r="A4" s="2" t="s">
        <v>0</v>
      </c>
      <c r="B4" s="3" t="s">
        <v>1</v>
      </c>
    </row>
    <row r="5" spans="1:28" x14ac:dyDescent="0.25">
      <c r="A5" s="4" t="s">
        <v>2</v>
      </c>
      <c r="B5" s="5">
        <v>2.899</v>
      </c>
    </row>
    <row r="6" spans="1:28" ht="15.75" thickBot="1" x14ac:dyDescent="0.3">
      <c r="A6" s="6" t="s">
        <v>3</v>
      </c>
      <c r="B6" s="7">
        <v>0.56399999999999995</v>
      </c>
    </row>
    <row r="7" spans="1:28" ht="15.75" thickBot="1" x14ac:dyDescent="0.3">
      <c r="A7" s="8"/>
      <c r="B7" s="8"/>
    </row>
    <row r="8" spans="1:28" ht="31.5" customHeight="1" x14ac:dyDescent="0.25">
      <c r="A8" s="220" t="s">
        <v>4</v>
      </c>
      <c r="B8" s="209"/>
      <c r="C8" s="220" t="s">
        <v>86</v>
      </c>
      <c r="D8" s="221"/>
      <c r="E8" s="221"/>
      <c r="F8" s="209"/>
      <c r="G8" s="220" t="s">
        <v>6</v>
      </c>
      <c r="H8" s="223"/>
      <c r="I8" s="223"/>
      <c r="J8" s="223"/>
      <c r="K8" s="223"/>
      <c r="L8" s="224"/>
      <c r="M8" s="220" t="s">
        <v>7</v>
      </c>
      <c r="N8" s="221"/>
      <c r="O8" s="221"/>
      <c r="P8" s="221"/>
      <c r="Q8" s="221"/>
      <c r="R8" s="221"/>
      <c r="S8" s="221"/>
      <c r="T8" s="221"/>
      <c r="U8" s="221"/>
      <c r="V8" s="221"/>
      <c r="W8" s="209"/>
    </row>
    <row r="9" spans="1:28" ht="64.5" customHeight="1" thickBot="1" x14ac:dyDescent="0.3">
      <c r="A9" s="93" t="s">
        <v>8</v>
      </c>
      <c r="B9" s="10" t="s">
        <v>9</v>
      </c>
      <c r="C9" s="11" t="s">
        <v>10</v>
      </c>
      <c r="D9" s="12" t="s">
        <v>11</v>
      </c>
      <c r="E9" s="12" t="s">
        <v>12</v>
      </c>
      <c r="F9" s="16" t="s">
        <v>13</v>
      </c>
      <c r="G9" s="13" t="s">
        <v>202</v>
      </c>
      <c r="H9" s="13" t="s">
        <v>191</v>
      </c>
      <c r="I9" s="94" t="s">
        <v>192</v>
      </c>
      <c r="J9" s="14" t="s">
        <v>201</v>
      </c>
      <c r="K9" s="14" t="s">
        <v>193</v>
      </c>
      <c r="L9" s="15" t="s">
        <v>194</v>
      </c>
      <c r="M9" s="11" t="s">
        <v>14</v>
      </c>
      <c r="N9" s="12" t="s">
        <v>15</v>
      </c>
      <c r="O9" s="12" t="s">
        <v>16</v>
      </c>
      <c r="P9" s="12" t="s">
        <v>17</v>
      </c>
      <c r="Q9" s="12" t="s">
        <v>18</v>
      </c>
      <c r="R9" s="12" t="s">
        <v>19</v>
      </c>
      <c r="S9" s="12" t="s">
        <v>20</v>
      </c>
      <c r="T9" s="12" t="s">
        <v>21</v>
      </c>
      <c r="U9" s="12" t="s">
        <v>22</v>
      </c>
      <c r="V9" s="12" t="s">
        <v>23</v>
      </c>
      <c r="W9" s="16" t="s">
        <v>24</v>
      </c>
      <c r="X9" s="17"/>
      <c r="Y9" s="17"/>
      <c r="Z9" s="17"/>
      <c r="AA9" s="17"/>
      <c r="AB9" s="17"/>
    </row>
    <row r="10" spans="1:28" ht="15.75" x14ac:dyDescent="0.25">
      <c r="A10" s="95" t="s">
        <v>25</v>
      </c>
      <c r="B10" s="96" t="s">
        <v>26</v>
      </c>
      <c r="C10" s="97">
        <f t="shared" ref="C10:C27" si="0">$B$5*T10</f>
        <v>2765.1039985907119</v>
      </c>
      <c r="D10" s="18">
        <f t="shared" ref="D10:D27" si="1">W10*$B$6</f>
        <v>1311.4547576729269</v>
      </c>
      <c r="E10" s="18">
        <f t="shared" ref="E10:E27" si="2">C10+D10</f>
        <v>4076.5587562636388</v>
      </c>
      <c r="F10" s="99">
        <f t="shared" ref="F10:F27" si="3">E10/(M10/100)</f>
        <v>93278.139653977531</v>
      </c>
      <c r="G10" s="18">
        <f>0.9*H10</f>
        <v>54211.5</v>
      </c>
      <c r="H10" s="98">
        <v>60235</v>
      </c>
      <c r="I10" s="123">
        <f t="shared" ref="I10:I27" si="4">H10-F10</f>
        <v>-33043.139653977531</v>
      </c>
      <c r="J10" s="123">
        <f>0.9*K10</f>
        <v>88526.49152439239</v>
      </c>
      <c r="K10" s="18">
        <v>98362.768360435992</v>
      </c>
      <c r="L10" s="123">
        <f t="shared" ref="L10:L27" si="5">K10-F10</f>
        <v>5084.6287064584612</v>
      </c>
      <c r="M10" s="100">
        <f>'Tax Levies and EQ Tax Rates'!O5</f>
        <v>4.3703259642462298</v>
      </c>
      <c r="N10" s="101">
        <f>'# and Assessed Value of Parcels'!G5/'# and Assessed Value of Parcels'!O5</f>
        <v>0.92172812725958064</v>
      </c>
      <c r="O10" s="101">
        <f>'# and Assessed Value of Parcels'!H5/'# and Assessed Value of Parcels'!P5</f>
        <v>0.73101366343961027</v>
      </c>
      <c r="P10" s="101">
        <f t="shared" ref="P10:P27" si="6">(N10+O10)/2</f>
        <v>0.8263708953495954</v>
      </c>
      <c r="Q10" s="102">
        <f>'Tax Levies and EQ Tax Rates'!I5</f>
        <v>23810385</v>
      </c>
      <c r="R10" s="102">
        <f t="shared" ref="R10:R27" si="7">P10*Q10</f>
        <v>19676209.171068575</v>
      </c>
      <c r="S10" s="103">
        <v>20629</v>
      </c>
      <c r="T10" s="102">
        <f t="shared" ref="T10:T27" si="8">R10/S10</f>
        <v>953.81303849282926</v>
      </c>
      <c r="U10" s="102">
        <f>'Tax Levies and EQ Tax Rates'!C5</f>
        <v>10152148</v>
      </c>
      <c r="V10" s="103">
        <v>4366</v>
      </c>
      <c r="W10" s="104">
        <f t="shared" ref="W10:W27" si="9">U10/V10</f>
        <v>2325.2743930371048</v>
      </c>
    </row>
    <row r="11" spans="1:28" ht="15.75" x14ac:dyDescent="0.25">
      <c r="A11" s="95" t="s">
        <v>27</v>
      </c>
      <c r="B11" s="96" t="s">
        <v>28</v>
      </c>
      <c r="C11" s="97">
        <f t="shared" si="0"/>
        <v>2845.6720108964005</v>
      </c>
      <c r="D11" s="18">
        <f t="shared" si="1"/>
        <v>8710.7237037686227</v>
      </c>
      <c r="E11" s="18">
        <f t="shared" si="2"/>
        <v>11556.395714665023</v>
      </c>
      <c r="F11" s="99">
        <f t="shared" si="3"/>
        <v>455056.95328877086</v>
      </c>
      <c r="G11" s="18">
        <f t="shared" ref="G11:G27" si="10">0.9*H11</f>
        <v>336351.60000000003</v>
      </c>
      <c r="H11" s="98">
        <v>373724</v>
      </c>
      <c r="I11" s="123">
        <f t="shared" si="4"/>
        <v>-81332.953288770863</v>
      </c>
      <c r="J11" s="123">
        <f t="shared" ref="J11:J27" si="11">0.9*K11</f>
        <v>384199.28100000002</v>
      </c>
      <c r="K11" s="18">
        <v>426888.09</v>
      </c>
      <c r="L11" s="123">
        <f t="shared" si="5"/>
        <v>-28168.863288770837</v>
      </c>
      <c r="M11" s="100">
        <f>'Tax Levies and EQ Tax Rates'!O7</f>
        <v>2.5395493094095287</v>
      </c>
      <c r="N11" s="101">
        <f>'# and Assessed Value of Parcels'!G7/'# and Assessed Value of Parcels'!O7</f>
        <v>0.98144233027953953</v>
      </c>
      <c r="O11" s="101">
        <f>'# and Assessed Value of Parcels'!H7/'# and Assessed Value of Parcels'!P7</f>
        <v>0.94433258765869066</v>
      </c>
      <c r="P11" s="101">
        <f t="shared" si="6"/>
        <v>0.9628874589691151</v>
      </c>
      <c r="Q11" s="102">
        <f>'Tax Levies and EQ Tax Rates'!I7</f>
        <v>17251960.34</v>
      </c>
      <c r="R11" s="102">
        <f t="shared" si="7"/>
        <v>16611696.254018551</v>
      </c>
      <c r="S11" s="103">
        <v>16923</v>
      </c>
      <c r="T11" s="102">
        <f t="shared" si="8"/>
        <v>981.60469503152819</v>
      </c>
      <c r="U11" s="102">
        <f>'Tax Levies and EQ Tax Rates'!C7</f>
        <v>35244453</v>
      </c>
      <c r="V11" s="103">
        <v>2282</v>
      </c>
      <c r="W11" s="104">
        <f t="shared" si="9"/>
        <v>15444.545574057844</v>
      </c>
    </row>
    <row r="12" spans="1:28" ht="15.75" x14ac:dyDescent="0.25">
      <c r="A12" s="95" t="s">
        <v>29</v>
      </c>
      <c r="B12" s="96" t="s">
        <v>30</v>
      </c>
      <c r="C12" s="97">
        <f t="shared" si="0"/>
        <v>1625.5706232003706</v>
      </c>
      <c r="D12" s="18">
        <f t="shared" si="1"/>
        <v>1273.8380948865054</v>
      </c>
      <c r="E12" s="18">
        <f t="shared" si="2"/>
        <v>2899.408718086876</v>
      </c>
      <c r="F12" s="99">
        <f t="shared" si="3"/>
        <v>109584.00059034678</v>
      </c>
      <c r="G12" s="18">
        <f t="shared" si="10"/>
        <v>148076.69999999998</v>
      </c>
      <c r="H12" s="98">
        <v>164529.66666666666</v>
      </c>
      <c r="I12" s="123">
        <f t="shared" si="4"/>
        <v>54945.666076319874</v>
      </c>
      <c r="J12" s="123">
        <f t="shared" si="11"/>
        <v>186151.51799999998</v>
      </c>
      <c r="K12" s="18">
        <v>206835.02</v>
      </c>
      <c r="L12" s="123">
        <f t="shared" si="5"/>
        <v>97251.019409653207</v>
      </c>
      <c r="M12" s="100">
        <f>'Tax Levies and EQ Tax Rates'!O18</f>
        <v>2.6458321492802699</v>
      </c>
      <c r="N12" s="101">
        <f>'# and Assessed Value of Parcels'!G18/'# and Assessed Value of Parcels'!O18</f>
        <v>0.84162883700821445</v>
      </c>
      <c r="O12" s="101">
        <f>'# and Assessed Value of Parcels'!H18/'# and Assessed Value of Parcels'!P18</f>
        <v>0.54365223337971258</v>
      </c>
      <c r="P12" s="101">
        <f t="shared" si="6"/>
        <v>0.69264053519396351</v>
      </c>
      <c r="Q12" s="102">
        <f>'Tax Levies and EQ Tax Rates'!I18</f>
        <v>252218004</v>
      </c>
      <c r="R12" s="102">
        <f t="shared" si="7"/>
        <v>174696413.27611324</v>
      </c>
      <c r="S12" s="103">
        <v>311549</v>
      </c>
      <c r="T12" s="102">
        <f t="shared" si="8"/>
        <v>560.73495108670943</v>
      </c>
      <c r="U12" s="102">
        <f>'Tax Levies and EQ Tax Rates'!C18</f>
        <v>135819599</v>
      </c>
      <c r="V12" s="103">
        <v>60135</v>
      </c>
      <c r="W12" s="104">
        <f t="shared" si="9"/>
        <v>2258.578182422882</v>
      </c>
    </row>
    <row r="13" spans="1:28" ht="15.75" x14ac:dyDescent="0.25">
      <c r="A13" s="95" t="s">
        <v>31</v>
      </c>
      <c r="B13" s="96" t="s">
        <v>32</v>
      </c>
      <c r="C13" s="97">
        <f t="shared" si="0"/>
        <v>2283.1411621451352</v>
      </c>
      <c r="D13" s="18">
        <f t="shared" si="1"/>
        <v>9222.921628486647</v>
      </c>
      <c r="E13" s="18">
        <f t="shared" si="2"/>
        <v>11506.062790631782</v>
      </c>
      <c r="F13" s="99">
        <f t="shared" si="3"/>
        <v>483801.25361344829</v>
      </c>
      <c r="G13" s="18">
        <f t="shared" si="10"/>
        <v>205367.25</v>
      </c>
      <c r="H13" s="98">
        <v>228185.83333333334</v>
      </c>
      <c r="I13" s="123">
        <f t="shared" si="4"/>
        <v>-255615.42028011495</v>
      </c>
      <c r="J13" s="123">
        <f t="shared" si="11"/>
        <v>342281.23763001472</v>
      </c>
      <c r="K13" s="18">
        <v>380312.48625557189</v>
      </c>
      <c r="L13" s="123">
        <f t="shared" si="5"/>
        <v>-103488.76735787641</v>
      </c>
      <c r="M13" s="100">
        <f>'Tax Levies and EQ Tax Rates'!O20</f>
        <v>2.3782622935956663</v>
      </c>
      <c r="N13" s="101">
        <f>'# and Assessed Value of Parcels'!G20/'# and Assessed Value of Parcels'!O20</f>
        <v>0.95667524385135538</v>
      </c>
      <c r="O13" s="101">
        <f>'# and Assessed Value of Parcels'!H20/'# and Assessed Value of Parcels'!P20</f>
        <v>0.81220548036186702</v>
      </c>
      <c r="P13" s="101">
        <f t="shared" si="6"/>
        <v>0.88444036210661126</v>
      </c>
      <c r="Q13" s="102">
        <f>'Tax Levies and EQ Tax Rates'!I20</f>
        <v>44269379.890000001</v>
      </c>
      <c r="R13" s="102">
        <f t="shared" si="7"/>
        <v>39153626.380146734</v>
      </c>
      <c r="S13" s="103">
        <v>49715</v>
      </c>
      <c r="T13" s="102">
        <f t="shared" si="8"/>
        <v>787.561628887594</v>
      </c>
      <c r="U13" s="102">
        <f>'Tax Levies and EQ Tax Rates'!C20</f>
        <v>137771480</v>
      </c>
      <c r="V13" s="103">
        <v>8425</v>
      </c>
      <c r="W13" s="104">
        <f t="shared" si="9"/>
        <v>16352.697922848665</v>
      </c>
    </row>
    <row r="14" spans="1:28" ht="15.75" x14ac:dyDescent="0.25">
      <c r="A14" s="95" t="s">
        <v>31</v>
      </c>
      <c r="B14" s="96" t="s">
        <v>33</v>
      </c>
      <c r="C14" s="97">
        <f t="shared" si="0"/>
        <v>1523.66201674388</v>
      </c>
      <c r="D14" s="18">
        <f t="shared" si="1"/>
        <v>7448.4644624535313</v>
      </c>
      <c r="E14" s="18">
        <f t="shared" si="2"/>
        <v>8972.1264791974118</v>
      </c>
      <c r="F14" s="99">
        <f t="shared" si="3"/>
        <v>532359.06468057749</v>
      </c>
      <c r="G14" s="18">
        <f t="shared" si="10"/>
        <v>118017.64285714287</v>
      </c>
      <c r="H14" s="98">
        <v>131130.71428571429</v>
      </c>
      <c r="I14" s="123">
        <f t="shared" si="4"/>
        <v>-401228.35039486317</v>
      </c>
      <c r="J14" s="123">
        <f t="shared" si="11"/>
        <v>337972.54806898651</v>
      </c>
      <c r="K14" s="18">
        <v>375525.05340998498</v>
      </c>
      <c r="L14" s="123">
        <f t="shared" si="5"/>
        <v>-156834.01127059251</v>
      </c>
      <c r="M14" s="100">
        <f>'Tax Levies and EQ Tax Rates'!O21</f>
        <v>1.6853524386930101</v>
      </c>
      <c r="N14" s="101">
        <f>'# and Assessed Value of Parcels'!G21/'# and Assessed Value of Parcels'!O21</f>
        <v>0.97122792306482886</v>
      </c>
      <c r="O14" s="101">
        <f>'# and Assessed Value of Parcels'!H21/'# and Assessed Value of Parcels'!P21</f>
        <v>0.88589383044965919</v>
      </c>
      <c r="P14" s="101">
        <f t="shared" si="6"/>
        <v>0.92856087675724397</v>
      </c>
      <c r="Q14" s="102">
        <f>'Tax Levies and EQ Tax Rates'!I21</f>
        <v>37853002.5</v>
      </c>
      <c r="R14" s="102">
        <f t="shared" si="7"/>
        <v>35148817.189294145</v>
      </c>
      <c r="S14" s="103">
        <v>66876</v>
      </c>
      <c r="T14" s="102">
        <f t="shared" si="8"/>
        <v>525.58193057739913</v>
      </c>
      <c r="U14" s="102">
        <f>'Tax Levies and EQ Tax Rates'!C21</f>
        <v>106576433</v>
      </c>
      <c r="V14" s="103">
        <v>8070</v>
      </c>
      <c r="W14" s="104">
        <f t="shared" si="9"/>
        <v>13206.49727385378</v>
      </c>
    </row>
    <row r="15" spans="1:28" ht="15.75" x14ac:dyDescent="0.25">
      <c r="A15" s="95" t="s">
        <v>31</v>
      </c>
      <c r="B15" s="96" t="s">
        <v>34</v>
      </c>
      <c r="C15" s="97">
        <f t="shared" si="0"/>
        <v>2407.9692756326381</v>
      </c>
      <c r="D15" s="18">
        <f t="shared" si="1"/>
        <v>7313.0024109857768</v>
      </c>
      <c r="E15" s="18">
        <f t="shared" si="2"/>
        <v>9720.9716866184153</v>
      </c>
      <c r="F15" s="99">
        <f t="shared" si="3"/>
        <v>412368.17094994627</v>
      </c>
      <c r="G15" s="18">
        <f t="shared" si="10"/>
        <v>275471.83124999999</v>
      </c>
      <c r="H15" s="98">
        <v>306079.8125</v>
      </c>
      <c r="I15" s="123">
        <f t="shared" si="4"/>
        <v>-106288.35844994627</v>
      </c>
      <c r="J15" s="123">
        <f t="shared" si="11"/>
        <v>292394.55564467527</v>
      </c>
      <c r="K15" s="18">
        <v>324882.83960519475</v>
      </c>
      <c r="L15" s="123">
        <f t="shared" si="5"/>
        <v>-87485.331344751525</v>
      </c>
      <c r="M15" s="100">
        <f>'Tax Levies and EQ Tax Rates'!O22</f>
        <v>2.357352572635476</v>
      </c>
      <c r="N15" s="101">
        <f>'# and Assessed Value of Parcels'!G22/'# and Assessed Value of Parcels'!O22</f>
        <v>0.92460317460317465</v>
      </c>
      <c r="O15" s="101">
        <f>'# and Assessed Value of Parcels'!H22/'# and Assessed Value of Parcels'!P22</f>
        <v>0.82398227250676292</v>
      </c>
      <c r="P15" s="101">
        <f t="shared" si="6"/>
        <v>0.87429272355496879</v>
      </c>
      <c r="Q15" s="102">
        <f>'Tax Levies and EQ Tax Rates'!I22</f>
        <v>13904912.58</v>
      </c>
      <c r="R15" s="102">
        <f t="shared" si="7"/>
        <v>12156963.890361948</v>
      </c>
      <c r="S15" s="103">
        <v>14636</v>
      </c>
      <c r="T15" s="102">
        <f t="shared" si="8"/>
        <v>830.62065389190684</v>
      </c>
      <c r="U15" s="102">
        <f>'Tax Levies and EQ Tax Rates'!C22</f>
        <v>26438319</v>
      </c>
      <c r="V15" s="103">
        <v>2039</v>
      </c>
      <c r="W15" s="104">
        <f t="shared" si="9"/>
        <v>12966.316331535067</v>
      </c>
    </row>
    <row r="16" spans="1:28" ht="15.75" x14ac:dyDescent="0.25">
      <c r="A16" s="95" t="s">
        <v>31</v>
      </c>
      <c r="B16" s="96" t="s">
        <v>35</v>
      </c>
      <c r="C16" s="97">
        <f t="shared" si="0"/>
        <v>2060.3178302432775</v>
      </c>
      <c r="D16" s="18">
        <f t="shared" si="1"/>
        <v>5793.1983754534458</v>
      </c>
      <c r="E16" s="18">
        <f t="shared" si="2"/>
        <v>7853.5162056967238</v>
      </c>
      <c r="F16" s="99">
        <f t="shared" si="3"/>
        <v>398786.44883037667</v>
      </c>
      <c r="G16" s="18">
        <f t="shared" si="10"/>
        <v>187807.57199999999</v>
      </c>
      <c r="H16" s="98">
        <v>208675.08</v>
      </c>
      <c r="I16" s="123">
        <f t="shared" si="4"/>
        <v>-190111.36883037668</v>
      </c>
      <c r="J16" s="123">
        <f t="shared" si="11"/>
        <v>297859.28475503088</v>
      </c>
      <c r="K16" s="18">
        <v>330954.76083892316</v>
      </c>
      <c r="L16" s="123">
        <f t="shared" si="5"/>
        <v>-67831.687991453509</v>
      </c>
      <c r="M16" s="100">
        <f>'Tax Levies and EQ Tax Rates'!O23</f>
        <v>1.9693538305353018</v>
      </c>
      <c r="N16" s="101">
        <f>'# and Assessed Value of Parcels'!G23/'# and Assessed Value of Parcels'!O23</f>
        <v>0.96279666452854396</v>
      </c>
      <c r="O16" s="101">
        <f>'# and Assessed Value of Parcels'!H23/'# and Assessed Value of Parcels'!P23</f>
        <v>0.85286917759426784</v>
      </c>
      <c r="P16" s="101">
        <f t="shared" si="6"/>
        <v>0.9078329210614059</v>
      </c>
      <c r="Q16" s="102">
        <f>'Tax Levies and EQ Tax Rates'!I23</f>
        <v>35498457.659999996</v>
      </c>
      <c r="R16" s="102">
        <f t="shared" si="7"/>
        <v>32226668.510652438</v>
      </c>
      <c r="S16" s="103">
        <v>45345</v>
      </c>
      <c r="T16" s="102">
        <f t="shared" si="8"/>
        <v>710.69949301251381</v>
      </c>
      <c r="U16" s="102">
        <f>'Tax Levies and EQ Tax Rates'!C23</f>
        <v>67957093</v>
      </c>
      <c r="V16" s="103">
        <v>6616</v>
      </c>
      <c r="W16" s="104">
        <f t="shared" si="9"/>
        <v>10271.628325272068</v>
      </c>
    </row>
    <row r="17" spans="1:23" ht="15.75" x14ac:dyDescent="0.25">
      <c r="A17" s="95" t="s">
        <v>31</v>
      </c>
      <c r="B17" s="96" t="s">
        <v>36</v>
      </c>
      <c r="C17" s="97">
        <f t="shared" si="0"/>
        <v>1769.5919630994072</v>
      </c>
      <c r="D17" s="18">
        <f t="shared" si="1"/>
        <v>4208.333077302631</v>
      </c>
      <c r="E17" s="18">
        <f t="shared" si="2"/>
        <v>5977.9250404020386</v>
      </c>
      <c r="F17" s="99">
        <f t="shared" si="3"/>
        <v>315150.95555324561</v>
      </c>
      <c r="G17" s="18">
        <f t="shared" si="10"/>
        <v>147122.69999999998</v>
      </c>
      <c r="H17" s="98">
        <v>163469.66666666666</v>
      </c>
      <c r="I17" s="123">
        <f t="shared" si="4"/>
        <v>-151681.28888657896</v>
      </c>
      <c r="J17" s="123">
        <f t="shared" si="11"/>
        <v>264122.91860898753</v>
      </c>
      <c r="K17" s="18">
        <v>293469.90956554172</v>
      </c>
      <c r="L17" s="123">
        <f t="shared" si="5"/>
        <v>-21681.045987703896</v>
      </c>
      <c r="M17" s="100">
        <f>'Tax Levies and EQ Tax Rates'!O24</f>
        <v>1.8968449674879859</v>
      </c>
      <c r="N17" s="101">
        <f>'# and Assessed Value of Parcels'!G24/'# and Assessed Value of Parcels'!O24</f>
        <v>0.95376862401402274</v>
      </c>
      <c r="O17" s="101">
        <f>'# and Assessed Value of Parcels'!H24/'# and Assessed Value of Parcels'!P24</f>
        <v>0.87694473065069911</v>
      </c>
      <c r="P17" s="101">
        <f t="shared" si="6"/>
        <v>0.91535667733236092</v>
      </c>
      <c r="Q17" s="102">
        <f>'Tax Levies and EQ Tax Rates'!I24</f>
        <v>10748447</v>
      </c>
      <c r="R17" s="102">
        <f t="shared" si="7"/>
        <v>9838662.7324029822</v>
      </c>
      <c r="S17" s="103">
        <v>16118</v>
      </c>
      <c r="T17" s="102">
        <f t="shared" si="8"/>
        <v>610.41461300427977</v>
      </c>
      <c r="U17" s="102">
        <f>'Tax Levies and EQ Tax Rates'!C24</f>
        <v>18146571</v>
      </c>
      <c r="V17" s="103">
        <v>2432</v>
      </c>
      <c r="W17" s="104">
        <f t="shared" si="9"/>
        <v>7461.5834703947367</v>
      </c>
    </row>
    <row r="18" spans="1:23" ht="15.75" x14ac:dyDescent="0.25">
      <c r="A18" s="95" t="s">
        <v>31</v>
      </c>
      <c r="B18" s="96" t="s">
        <v>37</v>
      </c>
      <c r="C18" s="97">
        <f t="shared" si="0"/>
        <v>2434.8412775221695</v>
      </c>
      <c r="D18" s="18">
        <f t="shared" si="1"/>
        <v>7483.0859473610908</v>
      </c>
      <c r="E18" s="18">
        <f t="shared" si="2"/>
        <v>9917.9272248832604</v>
      </c>
      <c r="F18" s="99">
        <f t="shared" si="3"/>
        <v>423941.64546829066</v>
      </c>
      <c r="G18" s="18">
        <f t="shared" si="10"/>
        <v>209555.70346820808</v>
      </c>
      <c r="H18" s="98">
        <v>232839.67052023122</v>
      </c>
      <c r="I18" s="123">
        <f t="shared" si="4"/>
        <v>-191101.97494805945</v>
      </c>
      <c r="J18" s="123">
        <f t="shared" si="11"/>
        <v>276857.55529002671</v>
      </c>
      <c r="K18" s="18">
        <v>307619.50587780745</v>
      </c>
      <c r="L18" s="123">
        <f t="shared" si="5"/>
        <v>-116322.13959048322</v>
      </c>
      <c r="M18" s="100">
        <f>'Tax Levies and EQ Tax Rates'!O25</f>
        <v>2.3394557555032858</v>
      </c>
      <c r="N18" s="101">
        <f>'# and Assessed Value of Parcels'!G25/'# and Assessed Value of Parcels'!O25</f>
        <v>0.95527753810756399</v>
      </c>
      <c r="O18" s="101">
        <f>'# and Assessed Value of Parcels'!H25/'# and Assessed Value of Parcels'!P25</f>
        <v>0.7164271010805654</v>
      </c>
      <c r="P18" s="101">
        <f t="shared" si="6"/>
        <v>0.8358523195940647</v>
      </c>
      <c r="Q18" s="102">
        <f>'Tax Levies and EQ Tax Rates'!I25</f>
        <v>104139647.23</v>
      </c>
      <c r="R18" s="102">
        <f t="shared" si="7"/>
        <v>87045365.698903114</v>
      </c>
      <c r="S18" s="103">
        <v>103639</v>
      </c>
      <c r="T18" s="102">
        <f t="shared" si="8"/>
        <v>839.89005778619162</v>
      </c>
      <c r="U18" s="102">
        <f>'Tax Levies and EQ Tax Rates'!C25</f>
        <v>190553334</v>
      </c>
      <c r="V18" s="103">
        <v>14362</v>
      </c>
      <c r="W18" s="104">
        <f t="shared" si="9"/>
        <v>13267.882885392006</v>
      </c>
    </row>
    <row r="19" spans="1:23" ht="15.75" x14ac:dyDescent="0.25">
      <c r="A19" s="95" t="s">
        <v>38</v>
      </c>
      <c r="B19" s="96" t="s">
        <v>39</v>
      </c>
      <c r="C19" s="97">
        <f t="shared" si="0"/>
        <v>3307.2011292730344</v>
      </c>
      <c r="D19" s="18">
        <f t="shared" si="1"/>
        <v>1677.7355528089888</v>
      </c>
      <c r="E19" s="18">
        <f t="shared" si="2"/>
        <v>4984.9366820820233</v>
      </c>
      <c r="F19" s="99">
        <f t="shared" si="3"/>
        <v>184815.41613405378</v>
      </c>
      <c r="G19" s="18">
        <f t="shared" si="10"/>
        <v>121246.875</v>
      </c>
      <c r="H19" s="98">
        <v>134718.75</v>
      </c>
      <c r="I19" s="123">
        <f t="shared" si="4"/>
        <v>-50096.666134053783</v>
      </c>
      <c r="J19" s="123">
        <f t="shared" si="11"/>
        <v>165501.99256094138</v>
      </c>
      <c r="K19" s="18">
        <v>183891.10284549042</v>
      </c>
      <c r="L19" s="123">
        <f t="shared" si="5"/>
        <v>-924.31328856336768</v>
      </c>
      <c r="M19" s="100">
        <f>'Tax Levies and EQ Tax Rates'!O26</f>
        <v>2.6972515531205774</v>
      </c>
      <c r="N19" s="101">
        <f>'# and Assessed Value of Parcels'!G26/'# and Assessed Value of Parcels'!O26</f>
        <v>0.96441281138790036</v>
      </c>
      <c r="O19" s="101">
        <f>'# and Assessed Value of Parcels'!H26/'# and Assessed Value of Parcels'!P26</f>
        <v>0.88303144331890093</v>
      </c>
      <c r="P19" s="101">
        <f t="shared" si="6"/>
        <v>0.92372212735340065</v>
      </c>
      <c r="Q19" s="102">
        <f>'Tax Levies and EQ Tax Rates'!I26</f>
        <v>12047538.390000001</v>
      </c>
      <c r="R19" s="102">
        <f t="shared" si="7"/>
        <v>11128577.790982563</v>
      </c>
      <c r="S19" s="103">
        <v>9755</v>
      </c>
      <c r="T19" s="102">
        <f t="shared" si="8"/>
        <v>1140.8075644267108</v>
      </c>
      <c r="U19" s="102">
        <f>'Tax Levies and EQ Tax Rates'!C26</f>
        <v>5294981</v>
      </c>
      <c r="V19" s="103">
        <v>1780</v>
      </c>
      <c r="W19" s="104">
        <f t="shared" si="9"/>
        <v>2974.7084269662923</v>
      </c>
    </row>
    <row r="20" spans="1:23" ht="15.75" x14ac:dyDescent="0.25">
      <c r="A20" s="95" t="s">
        <v>38</v>
      </c>
      <c r="B20" s="96" t="s">
        <v>40</v>
      </c>
      <c r="C20" s="97">
        <f t="shared" si="0"/>
        <v>1675.4946688961202</v>
      </c>
      <c r="D20" s="18">
        <f t="shared" si="1"/>
        <v>7712.7315710477751</v>
      </c>
      <c r="E20" s="18">
        <f t="shared" si="2"/>
        <v>9388.2262399438951</v>
      </c>
      <c r="F20" s="99">
        <f t="shared" si="3"/>
        <v>579989.65168829728</v>
      </c>
      <c r="G20" s="18">
        <f t="shared" si="10"/>
        <v>262856.25</v>
      </c>
      <c r="H20" s="98">
        <v>292062.5</v>
      </c>
      <c r="I20" s="123">
        <f t="shared" si="4"/>
        <v>-287927.15168829728</v>
      </c>
      <c r="J20" s="123">
        <f t="shared" si="11"/>
        <v>432438.63642091339</v>
      </c>
      <c r="K20" s="18">
        <v>480487.37380101485</v>
      </c>
      <c r="L20" s="123">
        <f t="shared" si="5"/>
        <v>-99502.277887282427</v>
      </c>
      <c r="M20" s="100">
        <f>'Tax Levies and EQ Tax Rates'!O27</f>
        <v>1.6186885770488524</v>
      </c>
      <c r="N20" s="101">
        <f>'# and Assessed Value of Parcels'!G27/'# and Assessed Value of Parcels'!O27</f>
        <v>0.97272104180945851</v>
      </c>
      <c r="O20" s="101">
        <f>'# and Assessed Value of Parcels'!H27/'# and Assessed Value of Parcels'!P27</f>
        <v>0.92205750411890763</v>
      </c>
      <c r="P20" s="101">
        <f t="shared" si="6"/>
        <v>0.94738927296418307</v>
      </c>
      <c r="Q20" s="102">
        <f>'Tax Levies and EQ Tax Rates'!I27</f>
        <v>24954149.290000003</v>
      </c>
      <c r="R20" s="102">
        <f t="shared" si="7"/>
        <v>23641293.353292789</v>
      </c>
      <c r="S20" s="103">
        <v>40905</v>
      </c>
      <c r="T20" s="102">
        <f t="shared" si="8"/>
        <v>577.95607757713697</v>
      </c>
      <c r="U20" s="102">
        <f>'Tax Levies and EQ Tax Rates'!C27</f>
        <v>66693248</v>
      </c>
      <c r="V20" s="103">
        <v>4877</v>
      </c>
      <c r="W20" s="104">
        <f t="shared" si="9"/>
        <v>13675.055977035063</v>
      </c>
    </row>
    <row r="21" spans="1:23" ht="15.75" customHeight="1" x14ac:dyDescent="0.25">
      <c r="A21" s="95" t="s">
        <v>41</v>
      </c>
      <c r="B21" s="96" t="s">
        <v>42</v>
      </c>
      <c r="C21" s="97">
        <f t="shared" si="0"/>
        <v>2208.1395450825999</v>
      </c>
      <c r="D21" s="18">
        <f t="shared" si="1"/>
        <v>911.10848389959415</v>
      </c>
      <c r="E21" s="18">
        <f t="shared" si="2"/>
        <v>3119.2480289821942</v>
      </c>
      <c r="F21" s="99">
        <f t="shared" si="3"/>
        <v>120717.86241145442</v>
      </c>
      <c r="G21" s="18">
        <f t="shared" si="10"/>
        <v>114933.708</v>
      </c>
      <c r="H21" s="98">
        <v>127704.12</v>
      </c>
      <c r="I21" s="123">
        <f t="shared" si="4"/>
        <v>6986.2575885455735</v>
      </c>
      <c r="J21" s="123">
        <f t="shared" si="11"/>
        <v>233117.62384448753</v>
      </c>
      <c r="K21" s="18">
        <v>259019.58204943058</v>
      </c>
      <c r="L21" s="123">
        <f t="shared" si="5"/>
        <v>138301.71963797614</v>
      </c>
      <c r="M21" s="100">
        <f>'Tax Levies and EQ Tax Rates'!O33</f>
        <v>2.5839158900532531</v>
      </c>
      <c r="N21" s="101">
        <f>'# and Assessed Value of Parcels'!G33/'# and Assessed Value of Parcels'!O33</f>
        <v>0.8215948144603471</v>
      </c>
      <c r="O21" s="101">
        <f>'# and Assessed Value of Parcels'!H33/'# and Assessed Value of Parcels'!P33</f>
        <v>0.65337602486817126</v>
      </c>
      <c r="P21" s="101">
        <f t="shared" si="6"/>
        <v>0.73748541966425918</v>
      </c>
      <c r="Q21" s="102">
        <f>'Tax Levies and EQ Tax Rates'!I33</f>
        <v>164974488.69999999</v>
      </c>
      <c r="R21" s="102">
        <f t="shared" si="7"/>
        <v>121666280.03281608</v>
      </c>
      <c r="S21" s="103">
        <v>159732</v>
      </c>
      <c r="T21" s="102">
        <f t="shared" si="8"/>
        <v>761.69008109092783</v>
      </c>
      <c r="U21" s="102">
        <f>'Tax Levies and EQ Tax Rates'!C33</f>
        <v>50970381</v>
      </c>
      <c r="V21" s="103">
        <v>31552</v>
      </c>
      <c r="W21" s="104">
        <f t="shared" si="9"/>
        <v>1615.4405742900608</v>
      </c>
    </row>
    <row r="22" spans="1:23" ht="15.75" customHeight="1" x14ac:dyDescent="0.25">
      <c r="A22" s="95" t="s">
        <v>41</v>
      </c>
      <c r="B22" s="96" t="s">
        <v>43</v>
      </c>
      <c r="C22" s="97">
        <f t="shared" si="0"/>
        <v>2575.154325668831</v>
      </c>
      <c r="D22" s="18">
        <f t="shared" si="1"/>
        <v>7473.2940961240311</v>
      </c>
      <c r="E22" s="18">
        <f t="shared" si="2"/>
        <v>10048.448421792862</v>
      </c>
      <c r="F22" s="99">
        <f t="shared" si="3"/>
        <v>352461.2226648684</v>
      </c>
      <c r="G22" s="18">
        <f t="shared" si="10"/>
        <v>250180.21475409839</v>
      </c>
      <c r="H22" s="98">
        <v>277978.01639344264</v>
      </c>
      <c r="I22" s="123">
        <f t="shared" si="4"/>
        <v>-74483.206271425763</v>
      </c>
      <c r="J22" s="123">
        <f t="shared" si="11"/>
        <v>267308.74305041274</v>
      </c>
      <c r="K22" s="18">
        <v>297009.71450045862</v>
      </c>
      <c r="L22" s="123">
        <f t="shared" si="5"/>
        <v>-55451.508164409781</v>
      </c>
      <c r="M22" s="100">
        <f>'Tax Levies and EQ Tax Rates'!O34</f>
        <v>2.8509372877444887</v>
      </c>
      <c r="N22" s="101">
        <f>'# and Assessed Value of Parcels'!G34/'# and Assessed Value of Parcels'!O34</f>
        <v>0.95521999479302266</v>
      </c>
      <c r="O22" s="101">
        <f>'# and Assessed Value of Parcels'!H34/'# and Assessed Value of Parcels'!P34</f>
        <v>0.87552226480698236</v>
      </c>
      <c r="P22" s="101">
        <f t="shared" si="6"/>
        <v>0.91537112980000246</v>
      </c>
      <c r="Q22" s="102">
        <f>'Tax Levies and EQ Tax Rates'!I34</f>
        <v>10797816</v>
      </c>
      <c r="R22" s="102">
        <f t="shared" si="7"/>
        <v>9884009.0312925428</v>
      </c>
      <c r="S22" s="103">
        <v>11127</v>
      </c>
      <c r="T22" s="102">
        <f t="shared" si="8"/>
        <v>888.29055731936216</v>
      </c>
      <c r="U22" s="102">
        <f>'Tax Levies and EQ Tax Rates'!C34</f>
        <v>25639759</v>
      </c>
      <c r="V22" s="103">
        <v>1935</v>
      </c>
      <c r="W22" s="104">
        <f t="shared" si="9"/>
        <v>13250.521447028425</v>
      </c>
    </row>
    <row r="23" spans="1:23" ht="15.75" customHeight="1" x14ac:dyDescent="0.25">
      <c r="A23" s="95" t="s">
        <v>41</v>
      </c>
      <c r="B23" s="96" t="s">
        <v>44</v>
      </c>
      <c r="C23" s="97">
        <f t="shared" si="0"/>
        <v>2910.7154568539349</v>
      </c>
      <c r="D23" s="18">
        <f t="shared" si="1"/>
        <v>11224.201876856669</v>
      </c>
      <c r="E23" s="18">
        <f t="shared" si="2"/>
        <v>14134.917333710604</v>
      </c>
      <c r="F23" s="99">
        <f t="shared" si="3"/>
        <v>695871.56621689443</v>
      </c>
      <c r="G23" s="18">
        <f t="shared" si="10"/>
        <v>137987.43692307692</v>
      </c>
      <c r="H23" s="98">
        <v>153319.37435897437</v>
      </c>
      <c r="I23" s="123">
        <f t="shared" si="4"/>
        <v>-542552.19185792003</v>
      </c>
      <c r="J23" s="123">
        <f t="shared" si="11"/>
        <v>430061.52295443945</v>
      </c>
      <c r="K23" s="18">
        <v>477846.1366160438</v>
      </c>
      <c r="L23" s="123">
        <f t="shared" si="5"/>
        <v>-218025.42960085062</v>
      </c>
      <c r="M23" s="100">
        <f>'Tax Levies and EQ Tax Rates'!O35</f>
        <v>2.0312537571487619</v>
      </c>
      <c r="N23" s="101">
        <f>'# and Assessed Value of Parcels'!G35/'# and Assessed Value of Parcels'!O35</f>
        <v>0.95973428121904314</v>
      </c>
      <c r="O23" s="101">
        <f>'# and Assessed Value of Parcels'!H35/'# and Assessed Value of Parcels'!P35</f>
        <v>0.74630979334649838</v>
      </c>
      <c r="P23" s="101">
        <f t="shared" si="6"/>
        <v>0.85302203728277082</v>
      </c>
      <c r="Q23" s="102">
        <f>'Tax Levies and EQ Tax Rates'!I35</f>
        <v>64546529</v>
      </c>
      <c r="R23" s="102">
        <f t="shared" si="7"/>
        <v>55059611.667111449</v>
      </c>
      <c r="S23" s="103">
        <v>54838</v>
      </c>
      <c r="T23" s="102">
        <f t="shared" si="8"/>
        <v>1004.0412062276423</v>
      </c>
      <c r="U23" s="102">
        <f>'Tax Levies and EQ Tax Rates'!C35</f>
        <v>156760706</v>
      </c>
      <c r="V23" s="103">
        <v>7877</v>
      </c>
      <c r="W23" s="104">
        <f t="shared" si="9"/>
        <v>19901.067157547288</v>
      </c>
    </row>
    <row r="24" spans="1:23" ht="15.75" customHeight="1" x14ac:dyDescent="0.25">
      <c r="A24" s="95" t="s">
        <v>45</v>
      </c>
      <c r="B24" s="96" t="s">
        <v>46</v>
      </c>
      <c r="C24" s="97">
        <f t="shared" si="0"/>
        <v>1592.1650680177333</v>
      </c>
      <c r="D24" s="18">
        <f t="shared" si="1"/>
        <v>10072.526194066895</v>
      </c>
      <c r="E24" s="18">
        <f t="shared" si="2"/>
        <v>11664.691262084629</v>
      </c>
      <c r="F24" s="99">
        <f t="shared" si="3"/>
        <v>718638.4208795781</v>
      </c>
      <c r="G24" s="18">
        <f t="shared" si="10"/>
        <v>127471.05</v>
      </c>
      <c r="H24" s="98">
        <v>141634.5</v>
      </c>
      <c r="I24" s="123">
        <f t="shared" si="4"/>
        <v>-577003.9208795781</v>
      </c>
      <c r="J24" s="123">
        <f t="shared" si="11"/>
        <v>332535.53977656277</v>
      </c>
      <c r="K24" s="18">
        <v>369483.93308506976</v>
      </c>
      <c r="L24" s="123">
        <f t="shared" si="5"/>
        <v>-349154.48779450834</v>
      </c>
      <c r="M24" s="100">
        <f>'Tax Levies and EQ Tax Rates'!O38</f>
        <v>1.6231655479549254</v>
      </c>
      <c r="N24" s="101">
        <f>'# and Assessed Value of Parcels'!G38/'# and Assessed Value of Parcels'!O38</f>
        <v>0.966461229754909</v>
      </c>
      <c r="O24" s="101">
        <f>'# and Assessed Value of Parcels'!H38/'# and Assessed Value of Parcels'!P38</f>
        <v>0.74002784885113326</v>
      </c>
      <c r="P24" s="101">
        <f t="shared" si="6"/>
        <v>0.85324453930302113</v>
      </c>
      <c r="Q24" s="102">
        <f>'Tax Levies and EQ Tax Rates'!I38</f>
        <v>44004169</v>
      </c>
      <c r="R24" s="102">
        <f t="shared" si="7"/>
        <v>37546316.905817285</v>
      </c>
      <c r="S24" s="103">
        <v>68364</v>
      </c>
      <c r="T24" s="102">
        <f t="shared" si="8"/>
        <v>549.21182063391973</v>
      </c>
      <c r="U24" s="102">
        <f>'Tax Levies and EQ Tax Rates'!C38</f>
        <v>151105752</v>
      </c>
      <c r="V24" s="103">
        <v>8461</v>
      </c>
      <c r="W24" s="104">
        <f t="shared" si="9"/>
        <v>17859.088996572511</v>
      </c>
    </row>
    <row r="25" spans="1:23" ht="15.75" customHeight="1" x14ac:dyDescent="0.25">
      <c r="A25" s="95" t="s">
        <v>45</v>
      </c>
      <c r="B25" s="96" t="s">
        <v>47</v>
      </c>
      <c r="C25" s="97">
        <f t="shared" si="0"/>
        <v>2292.0790969756363</v>
      </c>
      <c r="D25" s="18">
        <f t="shared" si="1"/>
        <v>5338.5689383313174</v>
      </c>
      <c r="E25" s="18">
        <f t="shared" si="2"/>
        <v>7630.6480353069537</v>
      </c>
      <c r="F25" s="99">
        <f t="shared" si="3"/>
        <v>289221.75958511676</v>
      </c>
      <c r="G25" s="18">
        <f t="shared" si="10"/>
        <v>175070.63926380369</v>
      </c>
      <c r="H25" s="98">
        <v>194522.93251533742</v>
      </c>
      <c r="I25" s="123">
        <f t="shared" si="4"/>
        <v>-94698.827069779334</v>
      </c>
      <c r="J25" s="123">
        <f t="shared" si="11"/>
        <v>227973.46860761847</v>
      </c>
      <c r="K25" s="18">
        <v>253303.85400846496</v>
      </c>
      <c r="L25" s="123">
        <f t="shared" si="5"/>
        <v>-35917.905576651799</v>
      </c>
      <c r="M25" s="100">
        <f>'Tax Levies and EQ Tax Rates'!O39</f>
        <v>2.6383381548653104</v>
      </c>
      <c r="N25" s="101">
        <f>'# and Assessed Value of Parcels'!G39/'# and Assessed Value of Parcels'!O39</f>
        <v>0.95111773472429206</v>
      </c>
      <c r="O25" s="101">
        <f>'# and Assessed Value of Parcels'!H39/'# and Assessed Value of Parcels'!P39</f>
        <v>0.86385134818830744</v>
      </c>
      <c r="P25" s="101">
        <f t="shared" si="6"/>
        <v>0.90748454145629975</v>
      </c>
      <c r="Q25" s="102">
        <f>'Tax Levies and EQ Tax Rates'!I39</f>
        <v>9542787.1500000004</v>
      </c>
      <c r="R25" s="102">
        <f t="shared" si="7"/>
        <v>8659931.8210328203</v>
      </c>
      <c r="S25" s="103">
        <v>10953</v>
      </c>
      <c r="T25" s="102">
        <f t="shared" si="8"/>
        <v>790.64473852212359</v>
      </c>
      <c r="U25" s="102">
        <f>'Tax Levies and EQ Tax Rates'!C39</f>
        <v>15656016</v>
      </c>
      <c r="V25" s="103">
        <v>1654</v>
      </c>
      <c r="W25" s="104">
        <f t="shared" si="9"/>
        <v>9465.5477629987909</v>
      </c>
    </row>
    <row r="26" spans="1:23" ht="15.75" customHeight="1" x14ac:dyDescent="0.25">
      <c r="A26" s="95" t="s">
        <v>48</v>
      </c>
      <c r="B26" s="96" t="s">
        <v>49</v>
      </c>
      <c r="C26" s="97">
        <f t="shared" si="0"/>
        <v>2983.589058742215</v>
      </c>
      <c r="D26" s="18">
        <f t="shared" si="1"/>
        <v>8070.7437156743617</v>
      </c>
      <c r="E26" s="18">
        <f t="shared" si="2"/>
        <v>11054.332774416576</v>
      </c>
      <c r="F26" s="99">
        <f t="shared" si="3"/>
        <v>476194.19364299689</v>
      </c>
      <c r="G26" s="18">
        <f t="shared" si="10"/>
        <v>187808.14800000002</v>
      </c>
      <c r="H26" s="98">
        <v>208675.72</v>
      </c>
      <c r="I26" s="123">
        <f t="shared" si="4"/>
        <v>-267518.47364299686</v>
      </c>
      <c r="J26" s="123">
        <f t="shared" si="11"/>
        <v>294006.36005604995</v>
      </c>
      <c r="K26" s="18">
        <v>326673.73339561105</v>
      </c>
      <c r="L26" s="123">
        <f t="shared" si="5"/>
        <v>-149520.46024738584</v>
      </c>
      <c r="M26" s="100">
        <f>'Tax Levies and EQ Tax Rates'!O40</f>
        <v>2.3213917603338139</v>
      </c>
      <c r="N26" s="101">
        <f>'# and Assessed Value of Parcels'!G40/'# and Assessed Value of Parcels'!O40</f>
        <v>0.90298507462686572</v>
      </c>
      <c r="O26" s="101">
        <f>'# and Assessed Value of Parcels'!H40/'# and Assessed Value of Parcels'!P40</f>
        <v>0.53546516271707922</v>
      </c>
      <c r="P26" s="101">
        <f t="shared" si="6"/>
        <v>0.71922511867197247</v>
      </c>
      <c r="Q26" s="102">
        <f>'Tax Levies and EQ Tax Rates'!I40</f>
        <v>62587105.100000001</v>
      </c>
      <c r="R26" s="102">
        <f t="shared" si="7"/>
        <v>45014218.092882715</v>
      </c>
      <c r="S26" s="103">
        <v>43738</v>
      </c>
      <c r="T26" s="102">
        <f t="shared" si="8"/>
        <v>1029.1787025671663</v>
      </c>
      <c r="U26" s="102">
        <f>'Tax Levies and EQ Tax Rates'!C40</f>
        <v>94215916</v>
      </c>
      <c r="V26" s="103">
        <v>6584</v>
      </c>
      <c r="W26" s="104">
        <f t="shared" si="9"/>
        <v>14309.829283110572</v>
      </c>
    </row>
    <row r="27" spans="1:23" ht="15.75" customHeight="1" x14ac:dyDescent="0.25">
      <c r="A27" s="105" t="s">
        <v>48</v>
      </c>
      <c r="B27" s="106" t="s">
        <v>50</v>
      </c>
      <c r="C27" s="107">
        <f t="shared" si="0"/>
        <v>3208.6306980455729</v>
      </c>
      <c r="D27" s="108">
        <f t="shared" si="1"/>
        <v>6189.0275198451109</v>
      </c>
      <c r="E27" s="108">
        <f t="shared" si="2"/>
        <v>9397.6582178906829</v>
      </c>
      <c r="F27" s="109">
        <f t="shared" si="3"/>
        <v>325691.11189615965</v>
      </c>
      <c r="G27" s="18">
        <f t="shared" si="10"/>
        <v>237874.10294117648</v>
      </c>
      <c r="H27" s="98">
        <v>264304.5588235294</v>
      </c>
      <c r="I27" s="123">
        <f t="shared" si="4"/>
        <v>-61386.553072630253</v>
      </c>
      <c r="J27" s="123">
        <f t="shared" si="11"/>
        <v>244453.34175162259</v>
      </c>
      <c r="K27" s="108">
        <v>271614.82416846952</v>
      </c>
      <c r="L27" s="124">
        <f t="shared" si="5"/>
        <v>-54076.287727690127</v>
      </c>
      <c r="M27" s="110">
        <f>'Tax Levies and EQ Tax Rates'!O41</f>
        <v>2.885451237271389</v>
      </c>
      <c r="N27" s="111">
        <f>'# and Assessed Value of Parcels'!G41/'# and Assessed Value of Parcels'!O41</f>
        <v>0.94367816091954027</v>
      </c>
      <c r="O27" s="111">
        <f>'# and Assessed Value of Parcels'!H41/'# and Assessed Value of Parcels'!P41</f>
        <v>0.73460247640646714</v>
      </c>
      <c r="P27" s="111">
        <f t="shared" si="6"/>
        <v>0.83914031866300376</v>
      </c>
      <c r="Q27" s="112">
        <f>'Tax Levies and EQ Tax Rates'!I41</f>
        <v>38983658</v>
      </c>
      <c r="R27" s="112">
        <f t="shared" si="7"/>
        <v>32712759.196769554</v>
      </c>
      <c r="S27" s="113">
        <v>29556</v>
      </c>
      <c r="T27" s="112">
        <f t="shared" si="8"/>
        <v>1106.8060358901596</v>
      </c>
      <c r="U27" s="112">
        <f>'Tax Levies and EQ Tax Rates'!C41</f>
        <v>45342308</v>
      </c>
      <c r="V27" s="113">
        <v>4132</v>
      </c>
      <c r="W27" s="114">
        <f t="shared" si="9"/>
        <v>10973.453049370764</v>
      </c>
    </row>
    <row r="28" spans="1:23" ht="15.75" customHeight="1" x14ac:dyDescent="0.25">
      <c r="C28" s="148">
        <f>AVERAGE(C10:C27)</f>
        <v>2359.3910669794259</v>
      </c>
      <c r="D28" s="116">
        <f t="shared" ref="D28:W28" si="12">AVERAGE(D10:D27)</f>
        <v>6190.8311337236628</v>
      </c>
      <c r="E28" s="116">
        <f t="shared" si="12"/>
        <v>8550.2222007030869</v>
      </c>
      <c r="F28" s="116">
        <f t="shared" si="12"/>
        <v>387107.10209713341</v>
      </c>
      <c r="G28" s="116">
        <f t="shared" si="12"/>
        <v>183189.49580319479</v>
      </c>
      <c r="H28" s="116">
        <f t="shared" si="12"/>
        <v>203543.88422577202</v>
      </c>
      <c r="I28" s="116">
        <f t="shared" si="12"/>
        <v>-183563.21787136135</v>
      </c>
      <c r="J28" s="116">
        <f t="shared" si="12"/>
        <v>283209.0344191757</v>
      </c>
      <c r="K28" s="116">
        <f t="shared" si="12"/>
        <v>314676.7049101952</v>
      </c>
      <c r="L28" s="116">
        <f t="shared" si="12"/>
        <v>-72430.397186938149</v>
      </c>
      <c r="M28" s="146">
        <f t="shared" si="12"/>
        <v>2.4129290581626734</v>
      </c>
      <c r="N28" s="149">
        <f t="shared" si="12"/>
        <v>0.93928186702290029</v>
      </c>
      <c r="O28" s="149">
        <f t="shared" si="12"/>
        <v>0.78564249687468224</v>
      </c>
      <c r="P28" s="149">
        <f t="shared" si="12"/>
        <v>0.86246218194879132</v>
      </c>
      <c r="Q28" s="150">
        <f t="shared" si="12"/>
        <v>54007357.601666659</v>
      </c>
      <c r="R28" s="150">
        <f t="shared" si="12"/>
        <v>42881523.388608858</v>
      </c>
      <c r="S28" s="151">
        <f t="shared" si="12"/>
        <v>59688.777777777781</v>
      </c>
      <c r="T28" s="116">
        <f t="shared" si="12"/>
        <v>813.86376922367242</v>
      </c>
      <c r="U28" s="150">
        <f t="shared" si="12"/>
        <v>74463249.833333328</v>
      </c>
      <c r="V28" s="151">
        <f t="shared" si="12"/>
        <v>9865.5</v>
      </c>
      <c r="W28" s="116">
        <f t="shared" si="12"/>
        <v>10976.65094631855</v>
      </c>
    </row>
    <row r="29" spans="1:23" ht="15.75" customHeight="1" x14ac:dyDescent="0.25">
      <c r="H29" s="18"/>
    </row>
    <row r="30" spans="1:23" ht="15.75" customHeight="1" x14ac:dyDescent="0.25">
      <c r="H30" s="18"/>
    </row>
    <row r="31" spans="1:23" ht="15.75" customHeight="1" x14ac:dyDescent="0.25">
      <c r="H31" s="18"/>
    </row>
    <row r="32" spans="1:23" ht="15.75" customHeight="1" x14ac:dyDescent="0.25">
      <c r="H32" s="18"/>
    </row>
    <row r="33" spans="8:8" ht="15.75" customHeight="1" x14ac:dyDescent="0.25">
      <c r="H33" s="18"/>
    </row>
    <row r="34" spans="8:8" ht="15.75" customHeight="1" x14ac:dyDescent="0.25">
      <c r="H34" s="18"/>
    </row>
    <row r="35" spans="8:8" ht="15.75" customHeight="1" x14ac:dyDescent="0.25">
      <c r="H35" s="18"/>
    </row>
    <row r="36" spans="8:8" ht="15.75" customHeight="1" x14ac:dyDescent="0.25">
      <c r="H36" s="18"/>
    </row>
    <row r="37" spans="8:8" ht="15.75" customHeight="1" x14ac:dyDescent="0.25">
      <c r="H37" s="18"/>
    </row>
    <row r="38" spans="8:8" ht="15.75" customHeight="1" x14ac:dyDescent="0.25">
      <c r="H38" s="18"/>
    </row>
    <row r="39" spans="8:8" ht="15.75" customHeight="1" x14ac:dyDescent="0.25">
      <c r="H39" s="18"/>
    </row>
    <row r="40" spans="8:8" ht="15.75" customHeight="1" x14ac:dyDescent="0.25">
      <c r="H40" s="18"/>
    </row>
    <row r="41" spans="8:8" ht="15.75" customHeight="1" x14ac:dyDescent="0.25">
      <c r="H41" s="18"/>
    </row>
    <row r="42" spans="8:8" ht="15.75" customHeight="1" x14ac:dyDescent="0.25">
      <c r="H42" s="18"/>
    </row>
    <row r="43" spans="8:8" ht="15.75" customHeight="1" x14ac:dyDescent="0.25">
      <c r="H43" s="18"/>
    </row>
    <row r="44" spans="8:8" ht="15.75" customHeight="1" x14ac:dyDescent="0.25">
      <c r="H44" s="18"/>
    </row>
    <row r="45" spans="8:8" ht="15.75" customHeight="1" x14ac:dyDescent="0.25">
      <c r="H45" s="18"/>
    </row>
    <row r="46" spans="8:8" ht="15.75" customHeight="1" x14ac:dyDescent="0.25">
      <c r="H46" s="18"/>
    </row>
    <row r="47" spans="8:8" ht="15.75" customHeight="1" x14ac:dyDescent="0.25">
      <c r="H47" s="18"/>
    </row>
    <row r="48" spans="8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A8:B8"/>
    <mergeCell ref="C8:F8"/>
    <mergeCell ref="M8:W8"/>
    <mergeCell ref="G8:L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CDE5-3970-40A3-ADE3-3DB3B0158F31}">
  <dimension ref="A1:AB1000"/>
  <sheetViews>
    <sheetView topLeftCell="B28" workbookViewId="0">
      <selection activeCell="F48" sqref="F48"/>
    </sheetView>
  </sheetViews>
  <sheetFormatPr defaultColWidth="14.42578125" defaultRowHeight="15" x14ac:dyDescent="0.25"/>
  <cols>
    <col min="1" max="2" width="20.85546875" customWidth="1"/>
    <col min="3" max="18" width="15.85546875" customWidth="1"/>
    <col min="19" max="28" width="11.42578125" customWidth="1"/>
  </cols>
  <sheetData>
    <row r="1" spans="1:28" x14ac:dyDescent="0.25">
      <c r="A1" s="1" t="s">
        <v>196</v>
      </c>
    </row>
    <row r="3" spans="1:28" x14ac:dyDescent="0.25">
      <c r="A3" s="219" t="s">
        <v>195</v>
      </c>
      <c r="B3" s="209"/>
    </row>
    <row r="4" spans="1:28" x14ac:dyDescent="0.25">
      <c r="A4" s="2" t="s">
        <v>0</v>
      </c>
      <c r="B4" s="3" t="s">
        <v>1</v>
      </c>
    </row>
    <row r="5" spans="1:28" x14ac:dyDescent="0.25">
      <c r="A5" s="4" t="s">
        <v>2</v>
      </c>
      <c r="B5" s="5">
        <v>2.899</v>
      </c>
    </row>
    <row r="6" spans="1:28" ht="15.75" thickBot="1" x14ac:dyDescent="0.3">
      <c r="A6" s="6" t="s">
        <v>3</v>
      </c>
      <c r="B6" s="7">
        <v>0.56399999999999995</v>
      </c>
    </row>
    <row r="7" spans="1:28" ht="15.75" thickBot="1" x14ac:dyDescent="0.3">
      <c r="A7" s="8"/>
      <c r="B7" s="8"/>
    </row>
    <row r="8" spans="1:28" ht="31.5" customHeight="1" x14ac:dyDescent="0.25">
      <c r="A8" s="220" t="s">
        <v>4</v>
      </c>
      <c r="B8" s="209"/>
      <c r="C8" s="222" t="s">
        <v>82</v>
      </c>
      <c r="D8" s="225"/>
      <c r="E8" s="223" t="s">
        <v>6</v>
      </c>
      <c r="F8" s="223"/>
      <c r="G8" s="223"/>
      <c r="H8" s="223"/>
      <c r="I8" s="223"/>
      <c r="J8" s="224"/>
      <c r="K8" s="220" t="s">
        <v>52</v>
      </c>
      <c r="L8" s="221"/>
      <c r="M8" s="221"/>
      <c r="N8" s="221"/>
      <c r="O8" s="221"/>
      <c r="P8" s="221"/>
      <c r="Q8" s="221"/>
      <c r="R8" s="209"/>
    </row>
    <row r="9" spans="1:28" ht="64.5" customHeight="1" thickBot="1" x14ac:dyDescent="0.3">
      <c r="A9" s="93" t="s">
        <v>8</v>
      </c>
      <c r="B9" s="10" t="s">
        <v>9</v>
      </c>
      <c r="C9" s="11" t="s">
        <v>10</v>
      </c>
      <c r="D9" s="12" t="s">
        <v>13</v>
      </c>
      <c r="E9" s="13" t="s">
        <v>202</v>
      </c>
      <c r="F9" s="13" t="s">
        <v>191</v>
      </c>
      <c r="G9" s="94" t="s">
        <v>192</v>
      </c>
      <c r="H9" s="14" t="s">
        <v>201</v>
      </c>
      <c r="I9" s="14" t="s">
        <v>193</v>
      </c>
      <c r="J9" s="15" t="s">
        <v>194</v>
      </c>
      <c r="K9" s="11" t="s">
        <v>83</v>
      </c>
      <c r="L9" s="12" t="s">
        <v>15</v>
      </c>
      <c r="M9" s="12" t="s">
        <v>16</v>
      </c>
      <c r="N9" s="12" t="s">
        <v>17</v>
      </c>
      <c r="O9" s="12" t="s">
        <v>18</v>
      </c>
      <c r="P9" s="12" t="s">
        <v>19</v>
      </c>
      <c r="Q9" s="12" t="s">
        <v>20</v>
      </c>
      <c r="R9" s="16" t="s">
        <v>21</v>
      </c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.75" x14ac:dyDescent="0.25">
      <c r="A10" s="95" t="s">
        <v>25</v>
      </c>
      <c r="B10" s="96" t="s">
        <v>26</v>
      </c>
      <c r="C10" s="97">
        <f t="shared" ref="C10:C47" si="0">$B$5*R10</f>
        <v>2765.1039985907119</v>
      </c>
      <c r="D10" s="18">
        <f t="shared" ref="D10:D47" si="1">C10/(K10/100)</f>
        <v>90246.692780138881</v>
      </c>
      <c r="E10" s="18">
        <f>0.9*F10</f>
        <v>54211.5</v>
      </c>
      <c r="F10" s="115">
        <v>60235</v>
      </c>
      <c r="G10" s="99">
        <f t="shared" ref="G10:G47" si="2">F10-D10</f>
        <v>-30011.692780138881</v>
      </c>
      <c r="H10" s="18">
        <f>0.9*I10</f>
        <v>88526.7</v>
      </c>
      <c r="I10" s="116">
        <v>98363</v>
      </c>
      <c r="J10" s="99">
        <f t="shared" ref="J10:J47" si="3">I10-D10</f>
        <v>8116.3072198611189</v>
      </c>
      <c r="K10" s="117">
        <v>3.0639394236053876</v>
      </c>
      <c r="L10" s="101">
        <f>'# and Assessed Value of Parcels'!G5/'# and Assessed Value of Parcels'!O5</f>
        <v>0.92172812725958064</v>
      </c>
      <c r="M10" s="101">
        <f>'# and Assessed Value of Parcels'!H5/'# and Assessed Value of Parcels'!P5</f>
        <v>0.73101366343961027</v>
      </c>
      <c r="N10" s="101">
        <f t="shared" ref="N10:N47" si="4">(L10+M10)/2</f>
        <v>0.8263708953495954</v>
      </c>
      <c r="O10" s="102">
        <f>'Tax Levies and EQ Tax Rates'!I5</f>
        <v>23810385</v>
      </c>
      <c r="P10" s="102">
        <f t="shared" ref="P10:P47" si="5">N10*O10</f>
        <v>19676209.171068575</v>
      </c>
      <c r="Q10" s="103">
        <v>20629</v>
      </c>
      <c r="R10" s="118">
        <f t="shared" ref="R10:R47" si="6">P10/Q10</f>
        <v>953.81303849282926</v>
      </c>
    </row>
    <row r="11" spans="1:28" ht="15.75" x14ac:dyDescent="0.25">
      <c r="A11" s="95" t="s">
        <v>27</v>
      </c>
      <c r="B11" s="96" t="s">
        <v>54</v>
      </c>
      <c r="C11" s="97">
        <f t="shared" si="0"/>
        <v>2743.9554452488678</v>
      </c>
      <c r="D11" s="18">
        <f t="shared" si="1"/>
        <v>511740.88605615258</v>
      </c>
      <c r="E11" s="18">
        <f t="shared" ref="E11:E47" si="7">0.9*F11</f>
        <v>199699.20000000001</v>
      </c>
      <c r="F11" s="115">
        <v>221888</v>
      </c>
      <c r="G11" s="99">
        <f t="shared" si="2"/>
        <v>-289852.88605615258</v>
      </c>
      <c r="H11" s="18">
        <f t="shared" ref="H11:H47" si="8">0.9*I11</f>
        <v>471789</v>
      </c>
      <c r="I11" s="116">
        <v>524210</v>
      </c>
      <c r="J11" s="99">
        <f t="shared" si="3"/>
        <v>12469.11394384742</v>
      </c>
      <c r="K11" s="117">
        <v>0.53620015910704022</v>
      </c>
      <c r="L11" s="101">
        <f>'# and Assessed Value of Parcels'!G6/'# and Assessed Value of Parcels'!O6</f>
        <v>0.96785505552308593</v>
      </c>
      <c r="M11" s="101">
        <f>'# and Assessed Value of Parcels'!H6/'# and Assessed Value of Parcels'!P6</f>
        <v>0.93507137588122136</v>
      </c>
      <c r="N11" s="101">
        <f t="shared" si="4"/>
        <v>0.95146321570215364</v>
      </c>
      <c r="O11" s="102">
        <f>'Tax Levies and EQ Tax Rates'!I6</f>
        <v>10090281.039999999</v>
      </c>
      <c r="P11" s="102">
        <f t="shared" si="5"/>
        <v>9600531.2456568703</v>
      </c>
      <c r="Q11" s="103">
        <v>10143</v>
      </c>
      <c r="R11" s="119">
        <f t="shared" si="6"/>
        <v>946.51791833351774</v>
      </c>
    </row>
    <row r="12" spans="1:28" ht="15.75" x14ac:dyDescent="0.25">
      <c r="A12" s="95" t="s">
        <v>27</v>
      </c>
      <c r="B12" s="96" t="s">
        <v>28</v>
      </c>
      <c r="C12" s="97">
        <f t="shared" si="0"/>
        <v>2845.6720108964005</v>
      </c>
      <c r="D12" s="18">
        <f t="shared" si="1"/>
        <v>340972.5158433427</v>
      </c>
      <c r="E12" s="18">
        <f t="shared" si="7"/>
        <v>336351.60000000003</v>
      </c>
      <c r="F12" s="115">
        <v>373724</v>
      </c>
      <c r="G12" s="99">
        <f t="shared" si="2"/>
        <v>32751.484156657301</v>
      </c>
      <c r="H12" s="18">
        <f t="shared" si="8"/>
        <v>384199.2</v>
      </c>
      <c r="I12" s="116">
        <v>426888</v>
      </c>
      <c r="J12" s="99">
        <f t="shared" si="3"/>
        <v>85915.484156657301</v>
      </c>
      <c r="K12" s="117">
        <v>0.8345751867589889</v>
      </c>
      <c r="L12" s="101">
        <f>'# and Assessed Value of Parcels'!G7/'# and Assessed Value of Parcels'!O7</f>
        <v>0.98144233027953953</v>
      </c>
      <c r="M12" s="101">
        <f>'# and Assessed Value of Parcels'!H7/'# and Assessed Value of Parcels'!P7</f>
        <v>0.94433258765869066</v>
      </c>
      <c r="N12" s="101">
        <f t="shared" si="4"/>
        <v>0.9628874589691151</v>
      </c>
      <c r="O12" s="102">
        <f>'Tax Levies and EQ Tax Rates'!I7</f>
        <v>17251960.34</v>
      </c>
      <c r="P12" s="102">
        <f t="shared" si="5"/>
        <v>16611696.254018551</v>
      </c>
      <c r="Q12" s="103">
        <v>16923</v>
      </c>
      <c r="R12" s="119">
        <f t="shared" si="6"/>
        <v>981.60469503152819</v>
      </c>
    </row>
    <row r="13" spans="1:28" ht="15.75" x14ac:dyDescent="0.25">
      <c r="A13" s="95" t="s">
        <v>27</v>
      </c>
      <c r="B13" s="96" t="s">
        <v>55</v>
      </c>
      <c r="C13" s="97">
        <f t="shared" si="0"/>
        <v>3241.7608068237</v>
      </c>
      <c r="D13" s="18">
        <f t="shared" si="1"/>
        <v>537363.52965232334</v>
      </c>
      <c r="E13" s="18">
        <f t="shared" si="7"/>
        <v>329555.7</v>
      </c>
      <c r="F13" s="115">
        <v>366173</v>
      </c>
      <c r="G13" s="99">
        <f t="shared" si="2"/>
        <v>-171190.52965232334</v>
      </c>
      <c r="H13" s="18">
        <f t="shared" si="8"/>
        <v>448910.10000000003</v>
      </c>
      <c r="I13" s="116">
        <v>498789</v>
      </c>
      <c r="J13" s="99">
        <f t="shared" si="3"/>
        <v>-38574.529652323341</v>
      </c>
      <c r="K13" s="117">
        <v>0.60327145925238612</v>
      </c>
      <c r="L13" s="101">
        <f>'# and Assessed Value of Parcels'!G8/'# and Assessed Value of Parcels'!O8</f>
        <v>0.95667319834530806</v>
      </c>
      <c r="M13" s="101">
        <f>'# and Assessed Value of Parcels'!H8/'# and Assessed Value of Parcels'!P8</f>
        <v>0.84635298341916665</v>
      </c>
      <c r="N13" s="101">
        <f t="shared" si="4"/>
        <v>0.9015130908822373</v>
      </c>
      <c r="O13" s="102">
        <f>'Tax Levies and EQ Tax Rates'!I8</f>
        <v>15812581.220000001</v>
      </c>
      <c r="P13" s="102">
        <f t="shared" si="5"/>
        <v>14255248.97046862</v>
      </c>
      <c r="Q13" s="103">
        <v>12748</v>
      </c>
      <c r="R13" s="119">
        <f t="shared" si="6"/>
        <v>1118.2341520606071</v>
      </c>
    </row>
    <row r="14" spans="1:28" ht="15.75" x14ac:dyDescent="0.25">
      <c r="A14" s="95" t="s">
        <v>27</v>
      </c>
      <c r="B14" s="96" t="s">
        <v>56</v>
      </c>
      <c r="C14" s="97">
        <f t="shared" si="0"/>
        <v>3375.8856432049229</v>
      </c>
      <c r="D14" s="18">
        <f t="shared" si="1"/>
        <v>460151.73516102321</v>
      </c>
      <c r="E14" s="18">
        <f t="shared" si="7"/>
        <v>421789.5</v>
      </c>
      <c r="F14" s="115">
        <v>468655</v>
      </c>
      <c r="G14" s="99">
        <f t="shared" si="2"/>
        <v>8503.2648389767855</v>
      </c>
      <c r="H14" s="18">
        <f t="shared" si="8"/>
        <v>413520.3</v>
      </c>
      <c r="I14" s="116">
        <v>459467</v>
      </c>
      <c r="J14" s="99">
        <f t="shared" si="3"/>
        <v>-684.73516102321446</v>
      </c>
      <c r="K14" s="117">
        <v>0.73364618347545341</v>
      </c>
      <c r="L14" s="101">
        <f>'# and Assessed Value of Parcels'!G9/'# and Assessed Value of Parcels'!O9</f>
        <v>0.91940211019929663</v>
      </c>
      <c r="M14" s="101">
        <f>'# and Assessed Value of Parcels'!H9/'# and Assessed Value of Parcels'!P9</f>
        <v>0.75552222177542272</v>
      </c>
      <c r="N14" s="101">
        <f t="shared" si="4"/>
        <v>0.83746216598735967</v>
      </c>
      <c r="O14" s="102">
        <f>'Tax Levies and EQ Tax Rates'!I9</f>
        <v>15687741</v>
      </c>
      <c r="P14" s="102">
        <f t="shared" si="5"/>
        <v>13137889.557308707</v>
      </c>
      <c r="Q14" s="103">
        <v>11282</v>
      </c>
      <c r="R14" s="119">
        <f t="shared" si="6"/>
        <v>1164.5000493980417</v>
      </c>
    </row>
    <row r="15" spans="1:28" ht="15.75" x14ac:dyDescent="0.25">
      <c r="A15" s="95" t="s">
        <v>57</v>
      </c>
      <c r="B15" s="96" t="s">
        <v>58</v>
      </c>
      <c r="C15" s="97">
        <f t="shared" si="0"/>
        <v>1133.0912030214836</v>
      </c>
      <c r="D15" s="18">
        <f t="shared" si="1"/>
        <v>290414.32322537032</v>
      </c>
      <c r="E15" s="18">
        <f t="shared" si="7"/>
        <v>419752.94835841306</v>
      </c>
      <c r="F15" s="115">
        <v>466392.1648426812</v>
      </c>
      <c r="G15" s="99">
        <f t="shared" si="2"/>
        <v>175977.84161731089</v>
      </c>
      <c r="H15" s="18">
        <f t="shared" si="8"/>
        <v>276152.40000000002</v>
      </c>
      <c r="I15" s="116">
        <v>306836</v>
      </c>
      <c r="J15" s="99">
        <f t="shared" si="3"/>
        <v>16421.676774629683</v>
      </c>
      <c r="K15" s="117">
        <v>0.39016367734113805</v>
      </c>
      <c r="L15" s="101">
        <f>'# and Assessed Value of Parcels'!G10/'# and Assessed Value of Parcels'!O10</f>
        <v>0.96040113139624583</v>
      </c>
      <c r="M15" s="101">
        <f>'# and Assessed Value of Parcels'!H10/'# and Assessed Value of Parcels'!P10</f>
        <v>0.85301721781778006</v>
      </c>
      <c r="N15" s="101">
        <f t="shared" si="4"/>
        <v>0.90670917460701295</v>
      </c>
      <c r="O15" s="102">
        <f>'Tax Levies and EQ Tax Rates'!I10</f>
        <v>5518999.9199999999</v>
      </c>
      <c r="P15" s="102">
        <f t="shared" si="5"/>
        <v>5004127.8621193701</v>
      </c>
      <c r="Q15" s="103">
        <v>12803</v>
      </c>
      <c r="R15" s="119">
        <f t="shared" si="6"/>
        <v>390.85588238064281</v>
      </c>
    </row>
    <row r="16" spans="1:28" ht="15.75" x14ac:dyDescent="0.25">
      <c r="A16" s="95" t="s">
        <v>57</v>
      </c>
      <c r="B16" s="96" t="s">
        <v>59</v>
      </c>
      <c r="C16" s="97">
        <f t="shared" si="0"/>
        <v>1450.4465469941683</v>
      </c>
      <c r="D16" s="18">
        <f t="shared" si="1"/>
        <v>384159.61751734593</v>
      </c>
      <c r="E16" s="18">
        <f t="shared" si="7"/>
        <v>98414.399999999994</v>
      </c>
      <c r="F16" s="115">
        <v>109349.33333333333</v>
      </c>
      <c r="G16" s="99">
        <f t="shared" si="2"/>
        <v>-274810.28418401262</v>
      </c>
      <c r="H16" s="18">
        <f t="shared" si="8"/>
        <v>333705.60000000003</v>
      </c>
      <c r="I16" s="116">
        <v>370784</v>
      </c>
      <c r="J16" s="99">
        <f t="shared" si="3"/>
        <v>-13375.617517345934</v>
      </c>
      <c r="K16" s="117">
        <v>0.37756351288762841</v>
      </c>
      <c r="L16" s="101">
        <f>'# and Assessed Value of Parcels'!G11/'# and Assessed Value of Parcels'!O11</f>
        <v>0.9585129938235637</v>
      </c>
      <c r="M16" s="101">
        <f>'# and Assessed Value of Parcels'!H11/'# and Assessed Value of Parcels'!P11</f>
        <v>0.91282274937277808</v>
      </c>
      <c r="N16" s="101">
        <f t="shared" si="4"/>
        <v>0.93566787159817089</v>
      </c>
      <c r="O16" s="102">
        <f>'Tax Levies and EQ Tax Rates'!I11</f>
        <v>13099197.74</v>
      </c>
      <c r="P16" s="102">
        <f t="shared" si="5"/>
        <v>12256498.469029371</v>
      </c>
      <c r="Q16" s="103">
        <v>24497</v>
      </c>
      <c r="R16" s="119">
        <f t="shared" si="6"/>
        <v>500.32650810423195</v>
      </c>
    </row>
    <row r="17" spans="1:18" ht="15.75" x14ac:dyDescent="0.25">
      <c r="A17" s="95" t="s">
        <v>57</v>
      </c>
      <c r="B17" s="96" t="s">
        <v>60</v>
      </c>
      <c r="C17" s="97">
        <f t="shared" si="0"/>
        <v>1576.7708838095721</v>
      </c>
      <c r="D17" s="18">
        <f t="shared" si="1"/>
        <v>155528.7383906559</v>
      </c>
      <c r="E17" s="18">
        <f t="shared" si="7"/>
        <v>84516.074999999997</v>
      </c>
      <c r="F17" s="115">
        <v>93906.75</v>
      </c>
      <c r="G17" s="99">
        <f t="shared" si="2"/>
        <v>-61621.988390655897</v>
      </c>
      <c r="H17" s="18">
        <f t="shared" si="8"/>
        <v>149680.80000000002</v>
      </c>
      <c r="I17" s="116">
        <v>166312</v>
      </c>
      <c r="J17" s="99">
        <f t="shared" si="3"/>
        <v>10783.261609344103</v>
      </c>
      <c r="K17" s="117">
        <v>1.0138132027079465</v>
      </c>
      <c r="L17" s="101">
        <f>'# and Assessed Value of Parcels'!G12/'# and Assessed Value of Parcels'!O12</f>
        <v>0.9812830932151213</v>
      </c>
      <c r="M17" s="101">
        <f>'# and Assessed Value of Parcels'!H12/'# and Assessed Value of Parcels'!P12</f>
        <v>0.9332896028243699</v>
      </c>
      <c r="N17" s="101">
        <f t="shared" si="4"/>
        <v>0.95728634801974555</v>
      </c>
      <c r="O17" s="102">
        <f>'Tax Levies and EQ Tax Rates'!I12</f>
        <v>15285484.98</v>
      </c>
      <c r="P17" s="102">
        <f t="shared" si="5"/>
        <v>14632586.094214873</v>
      </c>
      <c r="Q17" s="103">
        <v>26903</v>
      </c>
      <c r="R17" s="119">
        <f t="shared" si="6"/>
        <v>543.90165015852779</v>
      </c>
    </row>
    <row r="18" spans="1:18" ht="15.75" x14ac:dyDescent="0.25">
      <c r="A18" s="95" t="s">
        <v>57</v>
      </c>
      <c r="B18" s="96" t="s">
        <v>61</v>
      </c>
      <c r="C18" s="97">
        <f t="shared" si="0"/>
        <v>1116.6135793273925</v>
      </c>
      <c r="D18" s="18">
        <f t="shared" si="1"/>
        <v>329134.49363745051</v>
      </c>
      <c r="E18" s="18">
        <f t="shared" si="7"/>
        <v>118318.545</v>
      </c>
      <c r="F18" s="115">
        <v>131465.04999999999</v>
      </c>
      <c r="G18" s="99">
        <f t="shared" si="2"/>
        <v>-197669.44363745052</v>
      </c>
      <c r="H18" s="18">
        <f t="shared" si="8"/>
        <v>214680.6</v>
      </c>
      <c r="I18" s="116">
        <v>238534</v>
      </c>
      <c r="J18" s="99">
        <f t="shared" si="3"/>
        <v>-90600.493637450505</v>
      </c>
      <c r="K18" s="117">
        <v>0.33925753784936591</v>
      </c>
      <c r="L18" s="101">
        <f>'# and Assessed Value of Parcels'!G13/'# and Assessed Value of Parcels'!O13</f>
        <v>0.96051204165762638</v>
      </c>
      <c r="M18" s="101">
        <f>'# and Assessed Value of Parcels'!H13/'# and Assessed Value of Parcels'!P13</f>
        <v>0.90183161244513477</v>
      </c>
      <c r="N18" s="101">
        <f t="shared" si="4"/>
        <v>0.93117182705138057</v>
      </c>
      <c r="O18" s="102">
        <f>'Tax Levies and EQ Tax Rates'!I13</f>
        <v>4267546.8</v>
      </c>
      <c r="P18" s="102">
        <f t="shared" si="5"/>
        <v>3973819.3507832726</v>
      </c>
      <c r="Q18" s="103">
        <v>10317</v>
      </c>
      <c r="R18" s="119">
        <f t="shared" si="6"/>
        <v>385.17198321055275</v>
      </c>
    </row>
    <row r="19" spans="1:18" ht="15.75" x14ac:dyDescent="0.25">
      <c r="A19" s="95" t="s">
        <v>62</v>
      </c>
      <c r="B19" s="96" t="s">
        <v>63</v>
      </c>
      <c r="C19" s="97">
        <f t="shared" si="0"/>
        <v>989.80727295622614</v>
      </c>
      <c r="D19" s="18">
        <f t="shared" si="1"/>
        <v>260048.94514191823</v>
      </c>
      <c r="E19" s="18">
        <f t="shared" si="7"/>
        <v>88758.307894736849</v>
      </c>
      <c r="F19" s="115">
        <v>98620.34210526316</v>
      </c>
      <c r="G19" s="99">
        <f t="shared" si="2"/>
        <v>-161428.60303665505</v>
      </c>
      <c r="H19" s="18">
        <f t="shared" si="8"/>
        <v>106640.1</v>
      </c>
      <c r="I19" s="116">
        <v>118489</v>
      </c>
      <c r="J19" s="99">
        <f t="shared" si="3"/>
        <v>-141559.94514191823</v>
      </c>
      <c r="K19" s="117">
        <v>0.38062345241048834</v>
      </c>
      <c r="L19" s="101">
        <f>'# and Assessed Value of Parcels'!G14/'# and Assessed Value of Parcels'!O14</f>
        <v>0.94935451837140017</v>
      </c>
      <c r="M19" s="101">
        <f>'# and Assessed Value of Parcels'!H14/'# and Assessed Value of Parcels'!P14</f>
        <v>0.95309491622629139</v>
      </c>
      <c r="N19" s="101">
        <f t="shared" si="4"/>
        <v>0.95122471729884572</v>
      </c>
      <c r="O19" s="102">
        <f>'Tax Levies and EQ Tax Rates'!I14</f>
        <v>502154.1</v>
      </c>
      <c r="P19" s="102">
        <f t="shared" si="5"/>
        <v>477661.39181295631</v>
      </c>
      <c r="Q19" s="103">
        <v>1399</v>
      </c>
      <c r="R19" s="119">
        <f t="shared" si="6"/>
        <v>341.43058742884654</v>
      </c>
    </row>
    <row r="20" spans="1:18" ht="15.75" x14ac:dyDescent="0.25">
      <c r="A20" s="95" t="s">
        <v>62</v>
      </c>
      <c r="B20" s="120" t="s">
        <v>64</v>
      </c>
      <c r="C20" s="97">
        <f t="shared" si="0"/>
        <v>664.4655353698007</v>
      </c>
      <c r="D20" s="18">
        <f t="shared" si="1"/>
        <v>135937.78225059423</v>
      </c>
      <c r="E20" s="18">
        <f t="shared" si="7"/>
        <v>78351.891428571442</v>
      </c>
      <c r="F20" s="115">
        <v>87057.657142857148</v>
      </c>
      <c r="G20" s="99">
        <f t="shared" si="2"/>
        <v>-48880.125107737083</v>
      </c>
      <c r="H20" s="18">
        <f t="shared" si="8"/>
        <v>128558.7</v>
      </c>
      <c r="I20" s="116">
        <v>142843</v>
      </c>
      <c r="J20" s="99">
        <f t="shared" si="3"/>
        <v>6905.2177494057687</v>
      </c>
      <c r="K20" s="117">
        <v>0.48880121800493487</v>
      </c>
      <c r="L20" s="101">
        <f>'# and Assessed Value of Parcels'!G15/'# and Assessed Value of Parcels'!O15</f>
        <v>0.95576808129109381</v>
      </c>
      <c r="M20" s="101">
        <f>'# and Assessed Value of Parcels'!H15/'# and Assessed Value of Parcels'!P15</f>
        <v>0.9003796958191036</v>
      </c>
      <c r="N20" s="101">
        <f t="shared" si="4"/>
        <v>0.92807388855509876</v>
      </c>
      <c r="O20" s="102">
        <f>'Tax Levies and EQ Tax Rates'!I15</f>
        <v>1369687.7</v>
      </c>
      <c r="P20" s="102">
        <f t="shared" si="5"/>
        <v>1271171.3898450895</v>
      </c>
      <c r="Q20" s="103">
        <v>5546</v>
      </c>
      <c r="R20" s="119">
        <f t="shared" si="6"/>
        <v>229.20508291472945</v>
      </c>
    </row>
    <row r="21" spans="1:18" ht="15.75" customHeight="1" x14ac:dyDescent="0.25">
      <c r="A21" s="95" t="s">
        <v>62</v>
      </c>
      <c r="B21" s="96" t="s">
        <v>65</v>
      </c>
      <c r="C21" s="97">
        <f t="shared" si="0"/>
        <v>1096.3488210570179</v>
      </c>
      <c r="D21" s="18">
        <f t="shared" si="1"/>
        <v>201077.16446202598</v>
      </c>
      <c r="E21" s="18">
        <f t="shared" si="7"/>
        <v>32476.5</v>
      </c>
      <c r="F21" s="115">
        <v>36085</v>
      </c>
      <c r="G21" s="99">
        <f t="shared" si="2"/>
        <v>-164992.16446202598</v>
      </c>
      <c r="H21" s="18">
        <f t="shared" si="8"/>
        <v>148570.20000000001</v>
      </c>
      <c r="I21" s="116">
        <v>165078</v>
      </c>
      <c r="J21" s="99">
        <f t="shared" si="3"/>
        <v>-35999.164462025976</v>
      </c>
      <c r="K21" s="117">
        <v>0.54523785631762611</v>
      </c>
      <c r="L21" s="101">
        <f>'# and Assessed Value of Parcels'!G16/'# and Assessed Value of Parcels'!O16</f>
        <v>0.96660808435852374</v>
      </c>
      <c r="M21" s="101">
        <f>'# and Assessed Value of Parcels'!H16/'# and Assessed Value of Parcels'!P16</f>
        <v>0.93631576070851408</v>
      </c>
      <c r="N21" s="101">
        <f t="shared" si="4"/>
        <v>0.95146192253351891</v>
      </c>
      <c r="O21" s="102">
        <f>'Tax Levies and EQ Tax Rates'!I16</f>
        <v>1227003.3700000001</v>
      </c>
      <c r="P21" s="102">
        <f t="shared" si="5"/>
        <v>1167446.9853753068</v>
      </c>
      <c r="Q21" s="103">
        <v>3087</v>
      </c>
      <c r="R21" s="119">
        <f t="shared" si="6"/>
        <v>378.18172509728112</v>
      </c>
    </row>
    <row r="22" spans="1:18" ht="15.75" customHeight="1" x14ac:dyDescent="0.25">
      <c r="A22" s="133" t="s">
        <v>29</v>
      </c>
      <c r="B22" s="134" t="s">
        <v>64</v>
      </c>
      <c r="C22" s="135">
        <f t="shared" si="0"/>
        <v>3601.3525037032432</v>
      </c>
      <c r="D22" s="136">
        <f t="shared" si="1"/>
        <v>828326.09583123319</v>
      </c>
      <c r="E22" s="18">
        <f t="shared" si="7"/>
        <v>197720.1</v>
      </c>
      <c r="F22" s="143">
        <v>219689</v>
      </c>
      <c r="G22" s="137">
        <f t="shared" si="2"/>
        <v>-608637.09583123319</v>
      </c>
      <c r="H22" s="18">
        <f t="shared" si="8"/>
        <v>542896.59924115008</v>
      </c>
      <c r="I22" s="144">
        <v>603218.44360127789</v>
      </c>
      <c r="J22" s="137">
        <f t="shared" si="3"/>
        <v>-225107.6522299553</v>
      </c>
      <c r="K22" s="138">
        <v>0.43477472481284701</v>
      </c>
      <c r="L22" s="139">
        <f>'[1]# and Assessed Value of Parcels'!G17/'[1]# and Assessed Value of Parcels'!O17</f>
        <v>0.78907203907203904</v>
      </c>
      <c r="M22" s="139">
        <f>'[1]# and Assessed Value of Parcels'!H17/'[1]# and Assessed Value of Parcels'!P17</f>
        <v>0.44402101784565112</v>
      </c>
      <c r="N22" s="139">
        <f t="shared" si="4"/>
        <v>0.61654652845884506</v>
      </c>
      <c r="O22" s="140">
        <f>'[1]Tax Levies and EQ Tax Rates'!I17</f>
        <v>15861222.08</v>
      </c>
      <c r="P22" s="140">
        <f t="shared" si="5"/>
        <v>9779181.4105387814</v>
      </c>
      <c r="Q22" s="141">
        <v>7872</v>
      </c>
      <c r="R22" s="142">
        <f t="shared" si="6"/>
        <v>1242.2740612981177</v>
      </c>
    </row>
    <row r="23" spans="1:18" ht="15.75" customHeight="1" x14ac:dyDescent="0.25">
      <c r="A23" s="95" t="s">
        <v>29</v>
      </c>
      <c r="B23" s="96" t="s">
        <v>30</v>
      </c>
      <c r="C23" s="97">
        <f t="shared" si="0"/>
        <v>1625.5706232003706</v>
      </c>
      <c r="D23" s="18">
        <f t="shared" si="1"/>
        <v>96564.117892426075</v>
      </c>
      <c r="E23" s="18">
        <f t="shared" si="7"/>
        <v>148076.69999999998</v>
      </c>
      <c r="F23" s="115">
        <v>164529.66666666666</v>
      </c>
      <c r="G23" s="99">
        <f t="shared" si="2"/>
        <v>67965.548774240582</v>
      </c>
      <c r="H23" s="18">
        <f t="shared" si="8"/>
        <v>186151.5</v>
      </c>
      <c r="I23" s="116">
        <v>206835</v>
      </c>
      <c r="J23" s="99">
        <f t="shared" si="3"/>
        <v>110270.88210757393</v>
      </c>
      <c r="K23" s="117">
        <v>1.6834106277564524</v>
      </c>
      <c r="L23" s="101">
        <f>'# and Assessed Value of Parcels'!G18/'# and Assessed Value of Parcels'!O18</f>
        <v>0.84162883700821445</v>
      </c>
      <c r="M23" s="101">
        <f>'# and Assessed Value of Parcels'!H18/'# and Assessed Value of Parcels'!P18</f>
        <v>0.54365223337971258</v>
      </c>
      <c r="N23" s="101">
        <f t="shared" si="4"/>
        <v>0.69264053519396351</v>
      </c>
      <c r="O23" s="102">
        <f>'Tax Levies and EQ Tax Rates'!I18</f>
        <v>252218004</v>
      </c>
      <c r="P23" s="102">
        <f t="shared" si="5"/>
        <v>174696413.27611324</v>
      </c>
      <c r="Q23" s="103">
        <v>311549</v>
      </c>
      <c r="R23" s="119">
        <f t="shared" si="6"/>
        <v>560.73495108670943</v>
      </c>
    </row>
    <row r="24" spans="1:18" ht="15.75" customHeight="1" x14ac:dyDescent="0.25">
      <c r="A24" s="95" t="s">
        <v>66</v>
      </c>
      <c r="B24" s="96" t="s">
        <v>67</v>
      </c>
      <c r="C24" s="97">
        <f t="shared" si="0"/>
        <v>1242.1314163018303</v>
      </c>
      <c r="D24" s="18">
        <f t="shared" si="1"/>
        <v>419155.24579648155</v>
      </c>
      <c r="E24" s="18">
        <f t="shared" si="7"/>
        <v>54622.35</v>
      </c>
      <c r="F24" s="115">
        <v>60691.5</v>
      </c>
      <c r="G24" s="99">
        <f t="shared" si="2"/>
        <v>-358463.74579648155</v>
      </c>
      <c r="H24" s="18">
        <f t="shared" si="8"/>
        <v>341844.3</v>
      </c>
      <c r="I24" s="116">
        <v>379827</v>
      </c>
      <c r="J24" s="99">
        <f t="shared" si="3"/>
        <v>-39328.245796481555</v>
      </c>
      <c r="K24" s="117">
        <v>0.2963416129843548</v>
      </c>
      <c r="L24" s="101">
        <f>'# and Assessed Value of Parcels'!G19/'# and Assessed Value of Parcels'!O19</f>
        <v>0.96383866481223923</v>
      </c>
      <c r="M24" s="101">
        <f>'# and Assessed Value of Parcels'!H19/'# and Assessed Value of Parcels'!P19</f>
        <v>0.93906348074760293</v>
      </c>
      <c r="N24" s="101">
        <f t="shared" si="4"/>
        <v>0.95145107277992103</v>
      </c>
      <c r="O24" s="102">
        <f>'Tax Levies and EQ Tax Rates'!I19</f>
        <v>2789807.14</v>
      </c>
      <c r="P24" s="102">
        <f t="shared" si="5"/>
        <v>2654364.9962020833</v>
      </c>
      <c r="Q24" s="103">
        <v>6195</v>
      </c>
      <c r="R24" s="119">
        <f t="shared" si="6"/>
        <v>428.46892594061069</v>
      </c>
    </row>
    <row r="25" spans="1:18" ht="15.75" customHeight="1" x14ac:dyDescent="0.25">
      <c r="A25" s="95" t="s">
        <v>31</v>
      </c>
      <c r="B25" s="96" t="s">
        <v>32</v>
      </c>
      <c r="C25" s="97">
        <f t="shared" si="0"/>
        <v>2283.1411621451352</v>
      </c>
      <c r="D25" s="18">
        <f t="shared" si="1"/>
        <v>394764.82932354027</v>
      </c>
      <c r="E25" s="18">
        <f t="shared" si="7"/>
        <v>205367.25</v>
      </c>
      <c r="F25" s="115">
        <v>228185.83333333334</v>
      </c>
      <c r="G25" s="99">
        <f t="shared" si="2"/>
        <v>-166578.99599020692</v>
      </c>
      <c r="H25" s="18">
        <f t="shared" si="8"/>
        <v>342280.8</v>
      </c>
      <c r="I25" s="116">
        <v>380312</v>
      </c>
      <c r="J25" s="99">
        <f t="shared" si="3"/>
        <v>-14452.829323540267</v>
      </c>
      <c r="K25" s="117">
        <v>0.5783547551734719</v>
      </c>
      <c r="L25" s="101">
        <f>'# and Assessed Value of Parcels'!G20/'# and Assessed Value of Parcels'!O20</f>
        <v>0.95667524385135538</v>
      </c>
      <c r="M25" s="101">
        <f>'# and Assessed Value of Parcels'!H20/'# and Assessed Value of Parcels'!P20</f>
        <v>0.81220548036186702</v>
      </c>
      <c r="N25" s="101">
        <f t="shared" si="4"/>
        <v>0.88444036210661126</v>
      </c>
      <c r="O25" s="102">
        <f>'Tax Levies and EQ Tax Rates'!I20</f>
        <v>44269379.890000001</v>
      </c>
      <c r="P25" s="102">
        <f t="shared" si="5"/>
        <v>39153626.380146734</v>
      </c>
      <c r="Q25" s="103">
        <v>49715</v>
      </c>
      <c r="R25" s="119">
        <f t="shared" si="6"/>
        <v>787.561628887594</v>
      </c>
    </row>
    <row r="26" spans="1:18" ht="15.75" customHeight="1" x14ac:dyDescent="0.25">
      <c r="A26" s="95" t="s">
        <v>31</v>
      </c>
      <c r="B26" s="96" t="s">
        <v>33</v>
      </c>
      <c r="C26" s="97">
        <f t="shared" si="0"/>
        <v>1523.66201674388</v>
      </c>
      <c r="D26" s="18">
        <f t="shared" si="1"/>
        <v>344947.72717515094</v>
      </c>
      <c r="E26" s="18">
        <f t="shared" si="7"/>
        <v>118017.64285714287</v>
      </c>
      <c r="F26" s="115">
        <v>131130.71428571429</v>
      </c>
      <c r="G26" s="99">
        <f t="shared" si="2"/>
        <v>-213817.01288943665</v>
      </c>
      <c r="H26" s="18">
        <f t="shared" si="8"/>
        <v>337972.5</v>
      </c>
      <c r="I26" s="116">
        <v>375525</v>
      </c>
      <c r="J26" s="99">
        <f t="shared" si="3"/>
        <v>30577.27282484906</v>
      </c>
      <c r="K26" s="117">
        <v>0.44170808986667826</v>
      </c>
      <c r="L26" s="101">
        <f>'# and Assessed Value of Parcels'!G21/'# and Assessed Value of Parcels'!O21</f>
        <v>0.97122792306482886</v>
      </c>
      <c r="M26" s="101">
        <f>'# and Assessed Value of Parcels'!H21/'# and Assessed Value of Parcels'!P21</f>
        <v>0.88589383044965919</v>
      </c>
      <c r="N26" s="101">
        <f t="shared" si="4"/>
        <v>0.92856087675724397</v>
      </c>
      <c r="O26" s="102">
        <f>'Tax Levies and EQ Tax Rates'!I21</f>
        <v>37853002.5</v>
      </c>
      <c r="P26" s="102">
        <f t="shared" si="5"/>
        <v>35148817.189294145</v>
      </c>
      <c r="Q26" s="103">
        <v>66876</v>
      </c>
      <c r="R26" s="119">
        <f t="shared" si="6"/>
        <v>525.58193057739913</v>
      </c>
    </row>
    <row r="27" spans="1:18" ht="15.75" customHeight="1" x14ac:dyDescent="0.25">
      <c r="A27" s="95" t="s">
        <v>31</v>
      </c>
      <c r="B27" s="96" t="s">
        <v>34</v>
      </c>
      <c r="C27" s="97">
        <f t="shared" si="0"/>
        <v>2407.9692756326381</v>
      </c>
      <c r="D27" s="18">
        <f t="shared" si="1"/>
        <v>296366.30115151877</v>
      </c>
      <c r="E27" s="18">
        <f t="shared" si="7"/>
        <v>275471.83124999999</v>
      </c>
      <c r="F27" s="115">
        <v>306079.8125</v>
      </c>
      <c r="G27" s="99">
        <f t="shared" si="2"/>
        <v>9713.5113484812318</v>
      </c>
      <c r="H27" s="18">
        <f t="shared" si="8"/>
        <v>292394.7</v>
      </c>
      <c r="I27" s="116">
        <v>324883</v>
      </c>
      <c r="J27" s="99">
        <f t="shared" si="3"/>
        <v>28516.698848481232</v>
      </c>
      <c r="K27" s="117">
        <v>0.81249766463885231</v>
      </c>
      <c r="L27" s="101">
        <f>'# and Assessed Value of Parcels'!G22/'# and Assessed Value of Parcels'!O22</f>
        <v>0.92460317460317465</v>
      </c>
      <c r="M27" s="101">
        <f>'# and Assessed Value of Parcels'!H22/'# and Assessed Value of Parcels'!P22</f>
        <v>0.82398227250676292</v>
      </c>
      <c r="N27" s="101">
        <f t="shared" si="4"/>
        <v>0.87429272355496879</v>
      </c>
      <c r="O27" s="102">
        <f>'Tax Levies and EQ Tax Rates'!I22</f>
        <v>13904912.58</v>
      </c>
      <c r="P27" s="102">
        <f t="shared" si="5"/>
        <v>12156963.890361948</v>
      </c>
      <c r="Q27" s="103">
        <v>14636</v>
      </c>
      <c r="R27" s="119">
        <f t="shared" si="6"/>
        <v>830.62065389190684</v>
      </c>
    </row>
    <row r="28" spans="1:18" ht="15.75" customHeight="1" x14ac:dyDescent="0.25">
      <c r="A28" s="95" t="s">
        <v>31</v>
      </c>
      <c r="B28" s="96" t="s">
        <v>35</v>
      </c>
      <c r="C28" s="97">
        <f t="shared" si="0"/>
        <v>2060.3178302432775</v>
      </c>
      <c r="D28" s="18">
        <f t="shared" si="1"/>
        <v>304898.14443841769</v>
      </c>
      <c r="E28" s="18">
        <f t="shared" si="7"/>
        <v>187807.57199999999</v>
      </c>
      <c r="F28" s="115">
        <v>208675.08</v>
      </c>
      <c r="G28" s="99">
        <f t="shared" si="2"/>
        <v>-96223.064438417699</v>
      </c>
      <c r="H28" s="18">
        <f t="shared" si="8"/>
        <v>297859.5</v>
      </c>
      <c r="I28" s="116">
        <v>330955</v>
      </c>
      <c r="J28" s="99">
        <f t="shared" si="3"/>
        <v>26056.855561582313</v>
      </c>
      <c r="K28" s="117">
        <v>0.67573970777621895</v>
      </c>
      <c r="L28" s="101">
        <f>'# and Assessed Value of Parcels'!G23/'# and Assessed Value of Parcels'!O23</f>
        <v>0.96279666452854396</v>
      </c>
      <c r="M28" s="101">
        <f>'# and Assessed Value of Parcels'!H23/'# and Assessed Value of Parcels'!P23</f>
        <v>0.85286917759426784</v>
      </c>
      <c r="N28" s="101">
        <f t="shared" si="4"/>
        <v>0.9078329210614059</v>
      </c>
      <c r="O28" s="102">
        <f>'Tax Levies and EQ Tax Rates'!I23</f>
        <v>35498457.659999996</v>
      </c>
      <c r="P28" s="102">
        <f t="shared" si="5"/>
        <v>32226668.510652438</v>
      </c>
      <c r="Q28" s="103">
        <v>45345</v>
      </c>
      <c r="R28" s="119">
        <f t="shared" si="6"/>
        <v>710.69949301251381</v>
      </c>
    </row>
    <row r="29" spans="1:18" ht="15.75" customHeight="1" x14ac:dyDescent="0.25">
      <c r="A29" s="95" t="s">
        <v>31</v>
      </c>
      <c r="B29" s="96" t="s">
        <v>36</v>
      </c>
      <c r="C29" s="97">
        <f t="shared" si="0"/>
        <v>1769.5919630994072</v>
      </c>
      <c r="D29" s="18">
        <f t="shared" si="1"/>
        <v>250794.81328278498</v>
      </c>
      <c r="E29" s="18">
        <f t="shared" si="7"/>
        <v>147122.69999999998</v>
      </c>
      <c r="F29" s="115">
        <v>163469.66666666666</v>
      </c>
      <c r="G29" s="99">
        <f t="shared" si="2"/>
        <v>-87325.14661611832</v>
      </c>
      <c r="H29" s="18">
        <f t="shared" si="8"/>
        <v>264123</v>
      </c>
      <c r="I29" s="116">
        <v>293470</v>
      </c>
      <c r="J29" s="99">
        <f t="shared" si="3"/>
        <v>42675.186717215023</v>
      </c>
      <c r="K29" s="117">
        <v>0.70559352481667736</v>
      </c>
      <c r="L29" s="101">
        <f>'# and Assessed Value of Parcels'!G24/'# and Assessed Value of Parcels'!O24</f>
        <v>0.95376862401402274</v>
      </c>
      <c r="M29" s="101">
        <f>'# and Assessed Value of Parcels'!H24/'# and Assessed Value of Parcels'!P24</f>
        <v>0.87694473065069911</v>
      </c>
      <c r="N29" s="101">
        <f t="shared" si="4"/>
        <v>0.91535667733236092</v>
      </c>
      <c r="O29" s="102">
        <f>'Tax Levies and EQ Tax Rates'!I24</f>
        <v>10748447</v>
      </c>
      <c r="P29" s="102">
        <f t="shared" si="5"/>
        <v>9838662.7324029822</v>
      </c>
      <c r="Q29" s="103">
        <v>16118</v>
      </c>
      <c r="R29" s="119">
        <f t="shared" si="6"/>
        <v>610.41461300427977</v>
      </c>
    </row>
    <row r="30" spans="1:18" ht="15.75" customHeight="1" x14ac:dyDescent="0.25">
      <c r="A30" s="95" t="s">
        <v>31</v>
      </c>
      <c r="B30" s="96" t="s">
        <v>37</v>
      </c>
      <c r="C30" s="97">
        <f t="shared" si="0"/>
        <v>2434.8412775221695</v>
      </c>
      <c r="D30" s="18">
        <f t="shared" si="1"/>
        <v>294516.41790989245</v>
      </c>
      <c r="E30" s="18">
        <f t="shared" si="7"/>
        <v>209555.70346820808</v>
      </c>
      <c r="F30" s="115">
        <v>232839.67052023122</v>
      </c>
      <c r="G30" s="99">
        <f t="shared" si="2"/>
        <v>-61676.747389661236</v>
      </c>
      <c r="H30" s="18">
        <f t="shared" si="8"/>
        <v>276858</v>
      </c>
      <c r="I30" s="116">
        <v>307620</v>
      </c>
      <c r="J30" s="99">
        <f t="shared" si="3"/>
        <v>13103.582090107549</v>
      </c>
      <c r="K30" s="117">
        <v>0.82672514313518219</v>
      </c>
      <c r="L30" s="101">
        <f>'# and Assessed Value of Parcels'!G25/'# and Assessed Value of Parcels'!O25</f>
        <v>0.95527753810756399</v>
      </c>
      <c r="M30" s="101">
        <f>'# and Assessed Value of Parcels'!H25/'# and Assessed Value of Parcels'!P25</f>
        <v>0.7164271010805654</v>
      </c>
      <c r="N30" s="101">
        <f t="shared" si="4"/>
        <v>0.8358523195940647</v>
      </c>
      <c r="O30" s="102">
        <f>'Tax Levies and EQ Tax Rates'!I25</f>
        <v>104139647.23</v>
      </c>
      <c r="P30" s="102">
        <f t="shared" si="5"/>
        <v>87045365.698903114</v>
      </c>
      <c r="Q30" s="103">
        <v>103639</v>
      </c>
      <c r="R30" s="119">
        <f t="shared" si="6"/>
        <v>839.89005778619162</v>
      </c>
    </row>
    <row r="31" spans="1:18" ht="15.75" customHeight="1" x14ac:dyDescent="0.25">
      <c r="A31" s="95" t="s">
        <v>38</v>
      </c>
      <c r="B31" s="96" t="s">
        <v>39</v>
      </c>
      <c r="C31" s="97">
        <f t="shared" si="0"/>
        <v>3307.2011292730344</v>
      </c>
      <c r="D31" s="18">
        <f t="shared" si="1"/>
        <v>176503.37965652486</v>
      </c>
      <c r="E31" s="18">
        <f t="shared" si="7"/>
        <v>121246.875</v>
      </c>
      <c r="F31" s="115">
        <v>134718.75</v>
      </c>
      <c r="G31" s="99">
        <f t="shared" si="2"/>
        <v>-41784.629656524863</v>
      </c>
      <c r="H31" s="18">
        <f t="shared" si="8"/>
        <v>165501.9</v>
      </c>
      <c r="I31" s="116">
        <v>183891</v>
      </c>
      <c r="J31" s="99">
        <f t="shared" si="3"/>
        <v>7387.6203434751369</v>
      </c>
      <c r="K31" s="117">
        <v>1.8737324666013986</v>
      </c>
      <c r="L31" s="101">
        <f>'# and Assessed Value of Parcels'!G26/'# and Assessed Value of Parcels'!O26</f>
        <v>0.96441281138790036</v>
      </c>
      <c r="M31" s="101">
        <f>'# and Assessed Value of Parcels'!H26/'# and Assessed Value of Parcels'!P26</f>
        <v>0.88303144331890093</v>
      </c>
      <c r="N31" s="101">
        <f t="shared" si="4"/>
        <v>0.92372212735340065</v>
      </c>
      <c r="O31" s="102">
        <f>'Tax Levies and EQ Tax Rates'!I26</f>
        <v>12047538.390000001</v>
      </c>
      <c r="P31" s="102">
        <f t="shared" si="5"/>
        <v>11128577.790982563</v>
      </c>
      <c r="Q31" s="103">
        <v>9755</v>
      </c>
      <c r="R31" s="119">
        <f t="shared" si="6"/>
        <v>1140.8075644267108</v>
      </c>
    </row>
    <row r="32" spans="1:18" ht="15.75" customHeight="1" x14ac:dyDescent="0.25">
      <c r="A32" s="95" t="s">
        <v>38</v>
      </c>
      <c r="B32" s="96" t="s">
        <v>40</v>
      </c>
      <c r="C32" s="97">
        <f t="shared" si="0"/>
        <v>1675.4946688961202</v>
      </c>
      <c r="D32" s="18">
        <f t="shared" si="1"/>
        <v>502063.97089087887</v>
      </c>
      <c r="E32" s="18">
        <f t="shared" si="7"/>
        <v>262856.25</v>
      </c>
      <c r="F32" s="115">
        <v>292062.5</v>
      </c>
      <c r="G32" s="99">
        <f t="shared" si="2"/>
        <v>-210001.47089087887</v>
      </c>
      <c r="H32" s="18">
        <f t="shared" si="8"/>
        <v>432438.3</v>
      </c>
      <c r="I32" s="116">
        <v>480487</v>
      </c>
      <c r="J32" s="99">
        <f t="shared" si="3"/>
        <v>-21576.970890878874</v>
      </c>
      <c r="K32" s="117">
        <v>0.33372135146903037</v>
      </c>
      <c r="L32" s="101">
        <f>'# and Assessed Value of Parcels'!G27/'# and Assessed Value of Parcels'!O27</f>
        <v>0.97272104180945851</v>
      </c>
      <c r="M32" s="101">
        <f>'# and Assessed Value of Parcels'!H27/'# and Assessed Value of Parcels'!P27</f>
        <v>0.92205750411890763</v>
      </c>
      <c r="N32" s="101">
        <f t="shared" si="4"/>
        <v>0.94738927296418307</v>
      </c>
      <c r="O32" s="102">
        <f>'Tax Levies and EQ Tax Rates'!I27</f>
        <v>24954149.290000003</v>
      </c>
      <c r="P32" s="102">
        <f t="shared" si="5"/>
        <v>23641293.353292789</v>
      </c>
      <c r="Q32" s="103">
        <v>40905</v>
      </c>
      <c r="R32" s="119">
        <f t="shared" si="6"/>
        <v>577.95607757713697</v>
      </c>
    </row>
    <row r="33" spans="1:18" ht="15.75" customHeight="1" x14ac:dyDescent="0.25">
      <c r="A33" s="95" t="s">
        <v>38</v>
      </c>
      <c r="B33" s="96" t="s">
        <v>68</v>
      </c>
      <c r="C33" s="97">
        <f t="shared" si="0"/>
        <v>2202.7196006886493</v>
      </c>
      <c r="D33" s="18">
        <f t="shared" si="1"/>
        <v>544260.35273403348</v>
      </c>
      <c r="E33" s="18">
        <f t="shared" si="7"/>
        <v>809998.92</v>
      </c>
      <c r="F33" s="115">
        <v>899998.8</v>
      </c>
      <c r="G33" s="99">
        <f t="shared" si="2"/>
        <v>355738.44726596656</v>
      </c>
      <c r="H33" s="18">
        <f t="shared" si="8"/>
        <v>487810.8</v>
      </c>
      <c r="I33" s="116">
        <v>542012</v>
      </c>
      <c r="J33" s="99">
        <f t="shared" si="3"/>
        <v>-2248.352734033484</v>
      </c>
      <c r="K33" s="117">
        <v>0.4047179974847559</v>
      </c>
      <c r="L33" s="101">
        <f>'# and Assessed Value of Parcels'!G28/'# and Assessed Value of Parcels'!O28</f>
        <v>0.95530168589174802</v>
      </c>
      <c r="M33" s="101">
        <f>'# and Assessed Value of Parcels'!H28/'# and Assessed Value of Parcels'!P28</f>
        <v>0.88451081022686973</v>
      </c>
      <c r="N33" s="101">
        <f t="shared" si="4"/>
        <v>0.91990624805930887</v>
      </c>
      <c r="O33" s="102">
        <f>'Tax Levies and EQ Tax Rates'!I28</f>
        <v>22856408.080000002</v>
      </c>
      <c r="P33" s="102">
        <f t="shared" si="5"/>
        <v>21025752.600985274</v>
      </c>
      <c r="Q33" s="103">
        <v>27672</v>
      </c>
      <c r="R33" s="119">
        <f t="shared" si="6"/>
        <v>759.82049006162447</v>
      </c>
    </row>
    <row r="34" spans="1:18" ht="15.75" customHeight="1" x14ac:dyDescent="0.25">
      <c r="A34" s="95" t="s">
        <v>38</v>
      </c>
      <c r="B34" s="96" t="s">
        <v>69</v>
      </c>
      <c r="C34" s="97">
        <f t="shared" si="0"/>
        <v>8183.0060979150348</v>
      </c>
      <c r="D34" s="18">
        <f t="shared" si="1"/>
        <v>1593213.0423212766</v>
      </c>
      <c r="E34" s="18">
        <f t="shared" si="7"/>
        <v>1295078.4000000001</v>
      </c>
      <c r="F34" s="115">
        <v>1438976</v>
      </c>
      <c r="G34" s="99">
        <f t="shared" si="2"/>
        <v>-154237.04232127662</v>
      </c>
      <c r="H34" s="18">
        <f t="shared" si="8"/>
        <v>627586.20000000007</v>
      </c>
      <c r="I34" s="116">
        <v>697318</v>
      </c>
      <c r="J34" s="99">
        <f t="shared" si="3"/>
        <v>-895895.04232127662</v>
      </c>
      <c r="K34" s="117">
        <v>0.51361656479993245</v>
      </c>
      <c r="L34" s="101">
        <f>'# and Assessed Value of Parcels'!G29/'# and Assessed Value of Parcels'!O29</f>
        <v>0.93580470162748641</v>
      </c>
      <c r="M34" s="101">
        <f>'# and Assessed Value of Parcels'!H29/'# and Assessed Value of Parcels'!P29</f>
        <v>0.81959946110420667</v>
      </c>
      <c r="N34" s="101">
        <f t="shared" si="4"/>
        <v>0.87770208136584649</v>
      </c>
      <c r="O34" s="102">
        <f>'Tax Levies and EQ Tax Rates'!I29</f>
        <v>4660000</v>
      </c>
      <c r="P34" s="102">
        <f t="shared" si="5"/>
        <v>4090091.6991648446</v>
      </c>
      <c r="Q34" s="103">
        <v>1449</v>
      </c>
      <c r="R34" s="119">
        <f t="shared" si="6"/>
        <v>2822.6995853449585</v>
      </c>
    </row>
    <row r="35" spans="1:18" ht="15.75" customHeight="1" x14ac:dyDescent="0.25">
      <c r="A35" s="95" t="s">
        <v>70</v>
      </c>
      <c r="B35" s="96" t="s">
        <v>71</v>
      </c>
      <c r="C35" s="97">
        <f t="shared" si="0"/>
        <v>2287.9941754326405</v>
      </c>
      <c r="D35" s="18">
        <f t="shared" si="1"/>
        <v>495158.30961406202</v>
      </c>
      <c r="E35" s="18">
        <f t="shared" si="7"/>
        <v>126549.45</v>
      </c>
      <c r="F35" s="115">
        <v>140610.5</v>
      </c>
      <c r="G35" s="99">
        <f t="shared" si="2"/>
        <v>-354547.80961406202</v>
      </c>
      <c r="H35" s="18">
        <f t="shared" si="8"/>
        <v>396990.9</v>
      </c>
      <c r="I35" s="116">
        <v>441101</v>
      </c>
      <c r="J35" s="99">
        <f t="shared" si="3"/>
        <v>-54057.309614062018</v>
      </c>
      <c r="K35" s="117">
        <v>0.46207326647026414</v>
      </c>
      <c r="L35" s="101">
        <f>'# and Assessed Value of Parcels'!G30/'# and Assessed Value of Parcels'!O30</f>
        <v>0.93611412622111956</v>
      </c>
      <c r="M35" s="101">
        <f>'# and Assessed Value of Parcels'!H30/'# and Assessed Value of Parcels'!P30</f>
        <v>0.80900620679671975</v>
      </c>
      <c r="N35" s="101">
        <f t="shared" si="4"/>
        <v>0.87256016650891965</v>
      </c>
      <c r="O35" s="102">
        <f>'Tax Levies and EQ Tax Rates'!I30</f>
        <v>15473379.300000001</v>
      </c>
      <c r="P35" s="102">
        <f t="shared" si="5"/>
        <v>13501454.418463672</v>
      </c>
      <c r="Q35" s="103">
        <v>17107</v>
      </c>
      <c r="R35" s="119">
        <f t="shared" si="6"/>
        <v>789.2356589971165</v>
      </c>
    </row>
    <row r="36" spans="1:18" ht="15.75" customHeight="1" x14ac:dyDescent="0.25">
      <c r="A36" s="95" t="s">
        <v>70</v>
      </c>
      <c r="B36" s="96" t="s">
        <v>72</v>
      </c>
      <c r="C36" s="97">
        <f t="shared" si="0"/>
        <v>3518.6174738033292</v>
      </c>
      <c r="D36" s="18">
        <f t="shared" si="1"/>
        <v>359642.48283130111</v>
      </c>
      <c r="E36" s="18">
        <f t="shared" si="7"/>
        <v>200134.5675</v>
      </c>
      <c r="F36" s="115">
        <v>222371.74166666667</v>
      </c>
      <c r="G36" s="99">
        <f t="shared" si="2"/>
        <v>-137270.74116463444</v>
      </c>
      <c r="H36" s="18">
        <f t="shared" si="8"/>
        <v>313180.2</v>
      </c>
      <c r="I36" s="116">
        <v>347978</v>
      </c>
      <c r="J36" s="99">
        <f t="shared" si="3"/>
        <v>-11664.482831301109</v>
      </c>
      <c r="K36" s="117">
        <v>0.97836536053884959</v>
      </c>
      <c r="L36" s="101">
        <f>'# and Assessed Value of Parcels'!G31/'# and Assessed Value of Parcels'!O31</f>
        <v>0.97167216721672167</v>
      </c>
      <c r="M36" s="101">
        <f>'# and Assessed Value of Parcels'!H31/'# and Assessed Value of Parcels'!P31</f>
        <v>0.87191037944018179</v>
      </c>
      <c r="N36" s="101">
        <f t="shared" si="4"/>
        <v>0.92179127332845168</v>
      </c>
      <c r="O36" s="102">
        <f>'Tax Levies and EQ Tax Rates'!I31</f>
        <v>14371926.5</v>
      </c>
      <c r="P36" s="102">
        <f t="shared" si="5"/>
        <v>13247916.428617917</v>
      </c>
      <c r="Q36" s="103">
        <v>10915</v>
      </c>
      <c r="R36" s="119">
        <f t="shared" si="6"/>
        <v>1213.7348995527179</v>
      </c>
    </row>
    <row r="37" spans="1:18" ht="15.75" customHeight="1" x14ac:dyDescent="0.25">
      <c r="A37" s="95" t="s">
        <v>41</v>
      </c>
      <c r="B37" s="96" t="s">
        <v>73</v>
      </c>
      <c r="C37" s="97">
        <f t="shared" si="0"/>
        <v>2605.6359913588299</v>
      </c>
      <c r="D37" s="18">
        <f t="shared" si="1"/>
        <v>322433.98971714854</v>
      </c>
      <c r="E37" s="18">
        <f t="shared" si="7"/>
        <v>154213.85730337078</v>
      </c>
      <c r="F37" s="115">
        <v>171348.73033707865</v>
      </c>
      <c r="G37" s="99">
        <f t="shared" si="2"/>
        <v>-151085.25938006988</v>
      </c>
      <c r="H37" s="18">
        <f t="shared" si="8"/>
        <v>314496.90000000002</v>
      </c>
      <c r="I37" s="116">
        <v>349441</v>
      </c>
      <c r="J37" s="99">
        <f t="shared" si="3"/>
        <v>27007.010282851465</v>
      </c>
      <c r="K37" s="117">
        <v>0.80811455195669468</v>
      </c>
      <c r="L37" s="101">
        <f>'# and Assessed Value of Parcels'!G32/'# and Assessed Value of Parcels'!O32</f>
        <v>0.93861280892904597</v>
      </c>
      <c r="M37" s="101">
        <f>'# and Assessed Value of Parcels'!H32/'# and Assessed Value of Parcels'!P32</f>
        <v>0.81106844376357135</v>
      </c>
      <c r="N37" s="101">
        <f t="shared" si="4"/>
        <v>0.87484062634630866</v>
      </c>
      <c r="O37" s="102">
        <f>'Tax Levies and EQ Tax Rates'!I32</f>
        <v>13725969.970000001</v>
      </c>
      <c r="P37" s="102">
        <f t="shared" si="5"/>
        <v>12008036.165765423</v>
      </c>
      <c r="Q37" s="103">
        <v>13360</v>
      </c>
      <c r="R37" s="119">
        <f t="shared" si="6"/>
        <v>898.8051022279509</v>
      </c>
    </row>
    <row r="38" spans="1:18" ht="15.75" customHeight="1" x14ac:dyDescent="0.25">
      <c r="A38" s="95" t="s">
        <v>41</v>
      </c>
      <c r="B38" s="96" t="s">
        <v>42</v>
      </c>
      <c r="C38" s="97">
        <f t="shared" si="0"/>
        <v>2208.1395450825999</v>
      </c>
      <c r="D38" s="18">
        <f t="shared" si="1"/>
        <v>111859.85255806608</v>
      </c>
      <c r="E38" s="18">
        <f t="shared" si="7"/>
        <v>114933.708</v>
      </c>
      <c r="F38" s="115">
        <v>127704.12</v>
      </c>
      <c r="G38" s="99">
        <f t="shared" si="2"/>
        <v>15844.267441933916</v>
      </c>
      <c r="H38" s="18">
        <f t="shared" si="8"/>
        <v>233118</v>
      </c>
      <c r="I38" s="116">
        <v>259020</v>
      </c>
      <c r="J38" s="99">
        <f t="shared" si="3"/>
        <v>147160.14744193392</v>
      </c>
      <c r="K38" s="117">
        <v>1.9740232930634001</v>
      </c>
      <c r="L38" s="101">
        <f>'# and Assessed Value of Parcels'!G33/'# and Assessed Value of Parcels'!O33</f>
        <v>0.8215948144603471</v>
      </c>
      <c r="M38" s="101">
        <f>'# and Assessed Value of Parcels'!H33/'# and Assessed Value of Parcels'!P33</f>
        <v>0.65337602486817126</v>
      </c>
      <c r="N38" s="101">
        <f t="shared" si="4"/>
        <v>0.73748541966425918</v>
      </c>
      <c r="O38" s="102">
        <f>'Tax Levies and EQ Tax Rates'!I33</f>
        <v>164974488.69999999</v>
      </c>
      <c r="P38" s="102">
        <f t="shared" si="5"/>
        <v>121666280.03281608</v>
      </c>
      <c r="Q38" s="103">
        <v>159732</v>
      </c>
      <c r="R38" s="119">
        <f t="shared" si="6"/>
        <v>761.69008109092783</v>
      </c>
    </row>
    <row r="39" spans="1:18" ht="15.75" customHeight="1" x14ac:dyDescent="0.25">
      <c r="A39" s="95" t="s">
        <v>41</v>
      </c>
      <c r="B39" s="96" t="s">
        <v>43</v>
      </c>
      <c r="C39" s="97">
        <f t="shared" si="0"/>
        <v>2575.154325668831</v>
      </c>
      <c r="D39" s="18">
        <f t="shared" si="1"/>
        <v>304809.9502538126</v>
      </c>
      <c r="E39" s="18">
        <f t="shared" si="7"/>
        <v>250180.21475409839</v>
      </c>
      <c r="F39" s="115">
        <v>277978.01639344264</v>
      </c>
      <c r="G39" s="99">
        <f t="shared" si="2"/>
        <v>-26831.933860369958</v>
      </c>
      <c r="H39" s="18">
        <f t="shared" si="8"/>
        <v>267309</v>
      </c>
      <c r="I39" s="116">
        <v>297010</v>
      </c>
      <c r="J39" s="99">
        <f t="shared" si="3"/>
        <v>-7799.9502538125962</v>
      </c>
      <c r="K39" s="117">
        <v>0.84483932480698942</v>
      </c>
      <c r="L39" s="101">
        <f>'# and Assessed Value of Parcels'!G34/'# and Assessed Value of Parcels'!O34</f>
        <v>0.95521999479302266</v>
      </c>
      <c r="M39" s="101">
        <f>'# and Assessed Value of Parcels'!H34/'# and Assessed Value of Parcels'!P34</f>
        <v>0.87552226480698236</v>
      </c>
      <c r="N39" s="101">
        <f t="shared" si="4"/>
        <v>0.91537112980000246</v>
      </c>
      <c r="O39" s="102">
        <f>'Tax Levies and EQ Tax Rates'!I34</f>
        <v>10797816</v>
      </c>
      <c r="P39" s="102">
        <f t="shared" si="5"/>
        <v>9884009.0312925428</v>
      </c>
      <c r="Q39" s="103">
        <v>11127</v>
      </c>
      <c r="R39" s="119">
        <f t="shared" si="6"/>
        <v>888.29055731936216</v>
      </c>
    </row>
    <row r="40" spans="1:18" ht="15.75" customHeight="1" x14ac:dyDescent="0.25">
      <c r="A40" s="95" t="s">
        <v>41</v>
      </c>
      <c r="B40" s="96" t="s">
        <v>44</v>
      </c>
      <c r="C40" s="97">
        <f t="shared" si="0"/>
        <v>2910.7154568539349</v>
      </c>
      <c r="D40" s="18">
        <f t="shared" si="1"/>
        <v>491313.03858437925</v>
      </c>
      <c r="E40" s="18">
        <f t="shared" si="7"/>
        <v>137987.43692307692</v>
      </c>
      <c r="F40" s="115">
        <v>153319.37435897437</v>
      </c>
      <c r="G40" s="99">
        <f t="shared" si="2"/>
        <v>-337993.66422540485</v>
      </c>
      <c r="H40" s="18">
        <f t="shared" si="8"/>
        <v>430061.4</v>
      </c>
      <c r="I40" s="116">
        <v>477846</v>
      </c>
      <c r="J40" s="99">
        <f t="shared" si="3"/>
        <v>-13467.038584379246</v>
      </c>
      <c r="K40" s="117">
        <v>0.59243602922498906</v>
      </c>
      <c r="L40" s="101">
        <f>'# and Assessed Value of Parcels'!G35/'# and Assessed Value of Parcels'!O35</f>
        <v>0.95973428121904314</v>
      </c>
      <c r="M40" s="101">
        <f>'# and Assessed Value of Parcels'!H35/'# and Assessed Value of Parcels'!P35</f>
        <v>0.74630979334649838</v>
      </c>
      <c r="N40" s="101">
        <f t="shared" si="4"/>
        <v>0.85302203728277082</v>
      </c>
      <c r="O40" s="102">
        <f>'Tax Levies and EQ Tax Rates'!I35</f>
        <v>64546529</v>
      </c>
      <c r="P40" s="102">
        <f t="shared" si="5"/>
        <v>55059611.667111449</v>
      </c>
      <c r="Q40" s="103">
        <v>54838</v>
      </c>
      <c r="R40" s="119">
        <f t="shared" si="6"/>
        <v>1004.0412062276423</v>
      </c>
    </row>
    <row r="41" spans="1:18" ht="15.75" customHeight="1" x14ac:dyDescent="0.25">
      <c r="A41" s="95" t="s">
        <v>41</v>
      </c>
      <c r="B41" s="96" t="s">
        <v>74</v>
      </c>
      <c r="C41" s="97">
        <f t="shared" si="0"/>
        <v>2710.8728867497798</v>
      </c>
      <c r="D41" s="18">
        <f t="shared" si="1"/>
        <v>351204.95686579432</v>
      </c>
      <c r="E41" s="18">
        <f t="shared" si="7"/>
        <v>267325.2</v>
      </c>
      <c r="F41" s="115">
        <v>297028</v>
      </c>
      <c r="G41" s="99">
        <f t="shared" si="2"/>
        <v>-54176.956865794316</v>
      </c>
      <c r="H41" s="18">
        <f t="shared" si="8"/>
        <v>349272</v>
      </c>
      <c r="I41" s="116">
        <v>388080</v>
      </c>
      <c r="J41" s="99">
        <f t="shared" si="3"/>
        <v>36875.043134205684</v>
      </c>
      <c r="K41" s="117">
        <v>0.77187774083316352</v>
      </c>
      <c r="L41" s="101">
        <f>'# and Assessed Value of Parcels'!G36/'# and Assessed Value of Parcels'!O36</f>
        <v>0.93500511770726713</v>
      </c>
      <c r="M41" s="101">
        <f>'# and Assessed Value of Parcels'!H36/'# and Assessed Value of Parcels'!P36</f>
        <v>0.79393218764737428</v>
      </c>
      <c r="N41" s="101">
        <f t="shared" si="4"/>
        <v>0.86446865267732065</v>
      </c>
      <c r="O41" s="102">
        <f>'Tax Levies and EQ Tax Rates'!I36</f>
        <v>14585806</v>
      </c>
      <c r="P41" s="102">
        <f t="shared" si="5"/>
        <v>12608972.06103278</v>
      </c>
      <c r="Q41" s="103">
        <v>13484</v>
      </c>
      <c r="R41" s="119">
        <f t="shared" si="6"/>
        <v>935.10620446698158</v>
      </c>
    </row>
    <row r="42" spans="1:18" ht="15.75" customHeight="1" x14ac:dyDescent="0.25">
      <c r="A42" s="95" t="s">
        <v>45</v>
      </c>
      <c r="B42" s="96" t="s">
        <v>75</v>
      </c>
      <c r="C42" s="97">
        <f t="shared" si="0"/>
        <v>1187.1184321721234</v>
      </c>
      <c r="D42" s="18">
        <f t="shared" si="1"/>
        <v>516955.89459375682</v>
      </c>
      <c r="E42" s="18">
        <f t="shared" si="7"/>
        <v>122398.65000000001</v>
      </c>
      <c r="F42" s="115">
        <v>135998.5</v>
      </c>
      <c r="G42" s="99">
        <f t="shared" si="2"/>
        <v>-380957.39459375682</v>
      </c>
      <c r="H42" s="18">
        <f t="shared" si="8"/>
        <v>419309.10000000003</v>
      </c>
      <c r="I42" s="116">
        <v>465899</v>
      </c>
      <c r="J42" s="99">
        <f t="shared" si="3"/>
        <v>-51056.894593756821</v>
      </c>
      <c r="K42" s="117">
        <v>0.22963630835566837</v>
      </c>
      <c r="L42" s="101">
        <f>'# and Assessed Value of Parcels'!G37/'# and Assessed Value of Parcels'!O37</f>
        <v>0.96962008847254744</v>
      </c>
      <c r="M42" s="101">
        <f>'# and Assessed Value of Parcels'!H37/'# and Assessed Value of Parcels'!P37</f>
        <v>0.74155473878526956</v>
      </c>
      <c r="N42" s="101">
        <f t="shared" si="4"/>
        <v>0.85558741362890856</v>
      </c>
      <c r="O42" s="102">
        <f>'Tax Levies and EQ Tax Rates'!I37</f>
        <v>22005035.620000001</v>
      </c>
      <c r="P42" s="102">
        <f t="shared" si="5"/>
        <v>18827231.512927808</v>
      </c>
      <c r="Q42" s="103">
        <v>45977</v>
      </c>
      <c r="R42" s="119">
        <f t="shared" si="6"/>
        <v>409.49238777927678</v>
      </c>
    </row>
    <row r="43" spans="1:18" ht="15.75" customHeight="1" x14ac:dyDescent="0.25">
      <c r="A43" s="95" t="s">
        <v>45</v>
      </c>
      <c r="B43" s="96" t="s">
        <v>46</v>
      </c>
      <c r="C43" s="97">
        <f t="shared" si="0"/>
        <v>1592.1650680177333</v>
      </c>
      <c r="D43" s="18">
        <f t="shared" si="1"/>
        <v>434921.42700246494</v>
      </c>
      <c r="E43" s="18">
        <f t="shared" si="7"/>
        <v>127471.05</v>
      </c>
      <c r="F43" s="115">
        <v>141634.5</v>
      </c>
      <c r="G43" s="99">
        <f t="shared" si="2"/>
        <v>-293286.92700246494</v>
      </c>
      <c r="H43" s="18">
        <f t="shared" si="8"/>
        <v>332535.60000000003</v>
      </c>
      <c r="I43" s="116">
        <v>369484</v>
      </c>
      <c r="J43" s="99">
        <f t="shared" si="3"/>
        <v>-65437.427002464945</v>
      </c>
      <c r="K43" s="117">
        <v>0.36608108250521071</v>
      </c>
      <c r="L43" s="101">
        <f>'# and Assessed Value of Parcels'!G38/'# and Assessed Value of Parcels'!O38</f>
        <v>0.966461229754909</v>
      </c>
      <c r="M43" s="101">
        <f>'# and Assessed Value of Parcels'!H38/'# and Assessed Value of Parcels'!P38</f>
        <v>0.74002784885113326</v>
      </c>
      <c r="N43" s="101">
        <f t="shared" si="4"/>
        <v>0.85324453930302113</v>
      </c>
      <c r="O43" s="102">
        <f>'Tax Levies and EQ Tax Rates'!I38</f>
        <v>44004169</v>
      </c>
      <c r="P43" s="102">
        <f t="shared" si="5"/>
        <v>37546316.905817285</v>
      </c>
      <c r="Q43" s="103">
        <v>68364</v>
      </c>
      <c r="R43" s="119">
        <f t="shared" si="6"/>
        <v>549.21182063391973</v>
      </c>
    </row>
    <row r="44" spans="1:18" ht="15.75" customHeight="1" x14ac:dyDescent="0.25">
      <c r="A44" s="95" t="s">
        <v>45</v>
      </c>
      <c r="B44" s="96" t="s">
        <v>47</v>
      </c>
      <c r="C44" s="97">
        <f t="shared" si="0"/>
        <v>2292.0790969756363</v>
      </c>
      <c r="D44" s="18">
        <f t="shared" si="1"/>
        <v>229405.49646270348</v>
      </c>
      <c r="E44" s="18">
        <f t="shared" si="7"/>
        <v>175070.63926380369</v>
      </c>
      <c r="F44" s="115">
        <v>194522.93251533742</v>
      </c>
      <c r="G44" s="99">
        <f t="shared" si="2"/>
        <v>-34882.563947366056</v>
      </c>
      <c r="H44" s="18">
        <f t="shared" si="8"/>
        <v>227973.6</v>
      </c>
      <c r="I44" s="116">
        <v>253304</v>
      </c>
      <c r="J44" s="99">
        <f t="shared" si="3"/>
        <v>23898.503537296521</v>
      </c>
      <c r="K44" s="117">
        <v>0.99913870082370937</v>
      </c>
      <c r="L44" s="101">
        <f>'# and Assessed Value of Parcels'!G39/'# and Assessed Value of Parcels'!O39</f>
        <v>0.95111773472429206</v>
      </c>
      <c r="M44" s="101">
        <f>'# and Assessed Value of Parcels'!H39/'# and Assessed Value of Parcels'!P39</f>
        <v>0.86385134818830744</v>
      </c>
      <c r="N44" s="101">
        <f t="shared" si="4"/>
        <v>0.90748454145629975</v>
      </c>
      <c r="O44" s="102">
        <f>'Tax Levies and EQ Tax Rates'!I39</f>
        <v>9542787.1500000004</v>
      </c>
      <c r="P44" s="102">
        <f t="shared" si="5"/>
        <v>8659931.8210328203</v>
      </c>
      <c r="Q44" s="103">
        <v>10953</v>
      </c>
      <c r="R44" s="119">
        <f t="shared" si="6"/>
        <v>790.64473852212359</v>
      </c>
    </row>
    <row r="45" spans="1:18" ht="15.75" customHeight="1" x14ac:dyDescent="0.25">
      <c r="A45" s="95" t="s">
        <v>48</v>
      </c>
      <c r="B45" s="96" t="s">
        <v>49</v>
      </c>
      <c r="C45" s="97">
        <f t="shared" si="0"/>
        <v>2983.589058742215</v>
      </c>
      <c r="D45" s="18">
        <f t="shared" si="1"/>
        <v>322003.15650924877</v>
      </c>
      <c r="E45" s="18">
        <f t="shared" si="7"/>
        <v>187808.14800000002</v>
      </c>
      <c r="F45" s="115">
        <v>208675.72</v>
      </c>
      <c r="G45" s="99">
        <f t="shared" si="2"/>
        <v>-113327.43650924877</v>
      </c>
      <c r="H45" s="18">
        <f t="shared" si="8"/>
        <v>294006.60000000003</v>
      </c>
      <c r="I45" s="116">
        <v>326674</v>
      </c>
      <c r="J45" s="99">
        <f t="shared" si="3"/>
        <v>4670.8434907512274</v>
      </c>
      <c r="K45" s="117">
        <v>0.92657137000969703</v>
      </c>
      <c r="L45" s="101">
        <f>'# and Assessed Value of Parcels'!G40/'# and Assessed Value of Parcels'!O40</f>
        <v>0.90298507462686572</v>
      </c>
      <c r="M45" s="101">
        <f>'# and Assessed Value of Parcels'!H40/'# and Assessed Value of Parcels'!P40</f>
        <v>0.53546516271707922</v>
      </c>
      <c r="N45" s="101">
        <f t="shared" si="4"/>
        <v>0.71922511867197247</v>
      </c>
      <c r="O45" s="102">
        <f>'Tax Levies and EQ Tax Rates'!I40</f>
        <v>62587105.100000001</v>
      </c>
      <c r="P45" s="102">
        <f t="shared" si="5"/>
        <v>45014218.092882715</v>
      </c>
      <c r="Q45" s="103">
        <v>43738</v>
      </c>
      <c r="R45" s="119">
        <f t="shared" si="6"/>
        <v>1029.1787025671663</v>
      </c>
    </row>
    <row r="46" spans="1:18" ht="15.75" customHeight="1" x14ac:dyDescent="0.25">
      <c r="A46" s="95" t="s">
        <v>48</v>
      </c>
      <c r="B46" s="96" t="s">
        <v>50</v>
      </c>
      <c r="C46" s="97">
        <f t="shared" si="0"/>
        <v>3208.6306980455729</v>
      </c>
      <c r="D46" s="18">
        <f t="shared" si="1"/>
        <v>240538.57372524031</v>
      </c>
      <c r="E46" s="18">
        <f t="shared" si="7"/>
        <v>237874.10294117648</v>
      </c>
      <c r="F46" s="115">
        <v>264304.5588235294</v>
      </c>
      <c r="G46" s="99">
        <f t="shared" si="2"/>
        <v>23765.985098289093</v>
      </c>
      <c r="H46" s="18">
        <f t="shared" si="8"/>
        <v>244453.5</v>
      </c>
      <c r="I46" s="116">
        <v>271615</v>
      </c>
      <c r="J46" s="99">
        <f t="shared" si="3"/>
        <v>31076.426274759695</v>
      </c>
      <c r="K46" s="117">
        <v>1.3339360287845938</v>
      </c>
      <c r="L46" s="101">
        <f>'# and Assessed Value of Parcels'!G41/'# and Assessed Value of Parcels'!O41</f>
        <v>0.94367816091954027</v>
      </c>
      <c r="M46" s="101">
        <f>'# and Assessed Value of Parcels'!H41/'# and Assessed Value of Parcels'!P41</f>
        <v>0.73460247640646714</v>
      </c>
      <c r="N46" s="101">
        <f t="shared" si="4"/>
        <v>0.83914031866300376</v>
      </c>
      <c r="O46" s="102">
        <f>'Tax Levies and EQ Tax Rates'!I41</f>
        <v>38983658</v>
      </c>
      <c r="P46" s="102">
        <f t="shared" si="5"/>
        <v>32712759.196769554</v>
      </c>
      <c r="Q46" s="103">
        <v>29556</v>
      </c>
      <c r="R46" s="119">
        <f t="shared" si="6"/>
        <v>1106.8060358901596</v>
      </c>
    </row>
    <row r="47" spans="1:18" ht="15.75" customHeight="1" x14ac:dyDescent="0.25">
      <c r="A47" s="105" t="s">
        <v>76</v>
      </c>
      <c r="B47" s="106" t="s">
        <v>77</v>
      </c>
      <c r="C47" s="107">
        <f t="shared" si="0"/>
        <v>1307.1721861567262</v>
      </c>
      <c r="D47" s="108">
        <f t="shared" si="1"/>
        <v>455584.20784631302</v>
      </c>
      <c r="E47" s="18">
        <f t="shared" si="7"/>
        <v>102761.28409090909</v>
      </c>
      <c r="F47" s="147">
        <v>114179.20454545454</v>
      </c>
      <c r="G47" s="109">
        <f t="shared" si="2"/>
        <v>-341405.00330085849</v>
      </c>
      <c r="H47" s="18">
        <f t="shared" si="8"/>
        <v>216166.5</v>
      </c>
      <c r="I47" s="116">
        <v>240185</v>
      </c>
      <c r="J47" s="109">
        <f t="shared" si="3"/>
        <v>-215399.20784631302</v>
      </c>
      <c r="K47" s="121">
        <v>0.28692218993633078</v>
      </c>
      <c r="L47" s="111">
        <f>'# and Assessed Value of Parcels'!G42/'# and Assessed Value of Parcels'!O42</f>
        <v>0.95134061569016881</v>
      </c>
      <c r="M47" s="111">
        <f>'# and Assessed Value of Parcels'!H42/'# and Assessed Value of Parcels'!P42</f>
        <v>0.44542234351045923</v>
      </c>
      <c r="N47" s="111">
        <f t="shared" si="4"/>
        <v>0.69838147960031405</v>
      </c>
      <c r="O47" s="112">
        <f>'Tax Levies and EQ Tax Rates'!I42</f>
        <v>1616042.28</v>
      </c>
      <c r="P47" s="112">
        <f t="shared" si="5"/>
        <v>1128613.998603065</v>
      </c>
      <c r="Q47" s="113">
        <v>2503</v>
      </c>
      <c r="R47" s="122">
        <f t="shared" si="6"/>
        <v>450.90451402439675</v>
      </c>
    </row>
    <row r="48" spans="1:18" ht="15.75" customHeight="1" x14ac:dyDescent="0.25">
      <c r="C48" s="116">
        <f>AVERAGE(C10:C47)</f>
        <v>2334.3369923085529</v>
      </c>
      <c r="D48" s="116">
        <f>AVERAGE(D10:D47)</f>
        <v>378394.26839702087</v>
      </c>
      <c r="E48" s="116">
        <f>AVERAGE(E10:E47)</f>
        <v>223680.17818509234</v>
      </c>
      <c r="F48" s="152">
        <f t="shared" ref="F48:R48" si="9">AVERAGE(F10:F47)</f>
        <v>248533.53131676925</v>
      </c>
      <c r="G48" s="116">
        <f t="shared" si="9"/>
        <v>-129860.73708025161</v>
      </c>
      <c r="H48" s="116">
        <f t="shared" si="9"/>
        <v>310513.81840108288</v>
      </c>
      <c r="I48" s="116">
        <f t="shared" si="9"/>
        <v>345015.35377898096</v>
      </c>
      <c r="J48" s="116">
        <f t="shared" si="9"/>
        <v>-33378.914618039867</v>
      </c>
      <c r="K48" s="146">
        <f t="shared" si="9"/>
        <v>0.77531690390378416</v>
      </c>
      <c r="L48" s="149">
        <f t="shared" si="9"/>
        <v>0.94289015605878534</v>
      </c>
      <c r="M48" s="149">
        <f t="shared" si="9"/>
        <v>0.80603558289215715</v>
      </c>
      <c r="N48" s="149">
        <f t="shared" si="9"/>
        <v>0.87446286947547125</v>
      </c>
      <c r="O48" s="150">
        <f t="shared" si="9"/>
        <v>31129966.096578944</v>
      </c>
      <c r="P48" s="116">
        <f t="shared" si="9"/>
        <v>25171474.147470411</v>
      </c>
      <c r="Q48" s="153">
        <f t="shared" si="9"/>
        <v>35254.131578947367</v>
      </c>
      <c r="R48" s="116">
        <f t="shared" si="9"/>
        <v>805.22145302123226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A8:B8"/>
    <mergeCell ref="C8:D8"/>
    <mergeCell ref="K8:R8"/>
    <mergeCell ref="E8:J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1000"/>
  <sheetViews>
    <sheetView zoomScale="70" zoomScaleNormal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H3" sqref="H3"/>
    </sheetView>
  </sheetViews>
  <sheetFormatPr defaultColWidth="14.42578125" defaultRowHeight="15" customHeight="1" x14ac:dyDescent="0.25"/>
  <cols>
    <col min="1" max="2" width="20.85546875" customWidth="1"/>
    <col min="3" max="19" width="15.85546875" customWidth="1"/>
    <col min="20" max="28" width="11.42578125" customWidth="1"/>
  </cols>
  <sheetData>
    <row r="1" spans="1:28" x14ac:dyDescent="0.25">
      <c r="A1" s="19" t="s">
        <v>84</v>
      </c>
    </row>
    <row r="3" spans="1:28" x14ac:dyDescent="0.25">
      <c r="A3" s="219" t="s">
        <v>85</v>
      </c>
      <c r="B3" s="209"/>
    </row>
    <row r="4" spans="1:28" x14ac:dyDescent="0.25">
      <c r="A4" s="2" t="s">
        <v>0</v>
      </c>
      <c r="B4" s="3" t="s">
        <v>1</v>
      </c>
    </row>
    <row r="5" spans="1:28" x14ac:dyDescent="0.25">
      <c r="A5" s="4" t="s">
        <v>2</v>
      </c>
      <c r="B5" s="5">
        <v>2.5070000000000001</v>
      </c>
    </row>
    <row r="6" spans="1:28" x14ac:dyDescent="0.25">
      <c r="A6" s="6" t="s">
        <v>3</v>
      </c>
      <c r="B6" s="7">
        <v>0.41899999999999998</v>
      </c>
    </row>
    <row r="7" spans="1:28" ht="15.75" thickBot="1" x14ac:dyDescent="0.3">
      <c r="A7" s="8"/>
      <c r="B7" s="8"/>
    </row>
    <row r="8" spans="1:28" ht="31.5" customHeight="1" x14ac:dyDescent="0.25">
      <c r="A8" s="220" t="s">
        <v>4</v>
      </c>
      <c r="B8" s="209"/>
      <c r="C8" s="220" t="s">
        <v>86</v>
      </c>
      <c r="D8" s="221"/>
      <c r="E8" s="221"/>
      <c r="F8" s="209"/>
      <c r="G8" s="220" t="s">
        <v>6</v>
      </c>
      <c r="H8" s="223"/>
      <c r="I8" s="223"/>
      <c r="J8" s="223"/>
      <c r="K8" s="223"/>
      <c r="L8" s="224"/>
      <c r="M8" s="220" t="s">
        <v>7</v>
      </c>
      <c r="N8" s="221"/>
      <c r="O8" s="221"/>
      <c r="P8" s="221"/>
      <c r="Q8" s="221"/>
      <c r="R8" s="221"/>
      <c r="S8" s="221"/>
      <c r="T8" s="221"/>
      <c r="U8" s="221"/>
      <c r="V8" s="221"/>
      <c r="W8" s="209"/>
    </row>
    <row r="9" spans="1:28" ht="64.5" customHeight="1" thickBot="1" x14ac:dyDescent="0.3">
      <c r="A9" s="93" t="s">
        <v>8</v>
      </c>
      <c r="B9" s="10" t="s">
        <v>9</v>
      </c>
      <c r="C9" s="11" t="s">
        <v>10</v>
      </c>
      <c r="D9" s="12" t="s">
        <v>11</v>
      </c>
      <c r="E9" s="12" t="s">
        <v>12</v>
      </c>
      <c r="F9" s="16" t="s">
        <v>13</v>
      </c>
      <c r="G9" s="13" t="s">
        <v>202</v>
      </c>
      <c r="H9" s="13" t="s">
        <v>191</v>
      </c>
      <c r="I9" s="94" t="s">
        <v>192</v>
      </c>
      <c r="J9" s="14" t="s">
        <v>201</v>
      </c>
      <c r="K9" s="14" t="s">
        <v>193</v>
      </c>
      <c r="L9" s="15" t="s">
        <v>194</v>
      </c>
      <c r="M9" s="11" t="s">
        <v>14</v>
      </c>
      <c r="N9" s="12" t="s">
        <v>15</v>
      </c>
      <c r="O9" s="12" t="s">
        <v>16</v>
      </c>
      <c r="P9" s="12" t="s">
        <v>17</v>
      </c>
      <c r="Q9" s="12" t="s">
        <v>18</v>
      </c>
      <c r="R9" s="12" t="s">
        <v>19</v>
      </c>
      <c r="S9" s="12" t="s">
        <v>20</v>
      </c>
      <c r="T9" s="12" t="s">
        <v>21</v>
      </c>
      <c r="U9" s="12" t="s">
        <v>22</v>
      </c>
      <c r="V9" s="12" t="s">
        <v>23</v>
      </c>
      <c r="W9" s="16" t="s">
        <v>24</v>
      </c>
      <c r="X9" s="17"/>
      <c r="Y9" s="17"/>
      <c r="Z9" s="17"/>
      <c r="AA9" s="17"/>
      <c r="AB9" s="17"/>
    </row>
    <row r="10" spans="1:28" ht="15.75" x14ac:dyDescent="0.25">
      <c r="A10" s="95" t="s">
        <v>25</v>
      </c>
      <c r="B10" s="96" t="s">
        <v>26</v>
      </c>
      <c r="C10" s="97">
        <f t="shared" ref="C10:C27" si="0">$B$5*T10</f>
        <v>2391.2092875015232</v>
      </c>
      <c r="D10" s="18">
        <f t="shared" ref="D10:D27" si="1">W10*$B$6</f>
        <v>974.28997068254682</v>
      </c>
      <c r="E10" s="18">
        <f t="shared" ref="E10:E27" si="2">C10+D10</f>
        <v>3365.4992581840702</v>
      </c>
      <c r="F10" s="99">
        <f t="shared" ref="F10:F27" si="3">E10/(M10/100)</f>
        <v>77007.96887274136</v>
      </c>
      <c r="G10" s="18">
        <f t="shared" ref="G10:G24" si="4">0.85*H10</f>
        <v>51199.75</v>
      </c>
      <c r="H10" s="98">
        <v>60235</v>
      </c>
      <c r="I10" s="123">
        <f t="shared" ref="I10:I27" si="5">H10-F10</f>
        <v>-16772.96887274136</v>
      </c>
      <c r="J10" s="123">
        <f>0.85*K10</f>
        <v>83608.353106370589</v>
      </c>
      <c r="K10" s="18">
        <v>98362.768360435992</v>
      </c>
      <c r="L10" s="123">
        <f t="shared" ref="L10:L27" si="6">K10-F10</f>
        <v>21354.799487694632</v>
      </c>
      <c r="M10" s="100">
        <f>'Tax Levies and EQ Tax Rates'!O5</f>
        <v>4.3703259642462298</v>
      </c>
      <c r="N10" s="101">
        <f>'# and Assessed Value of Parcels'!G5/'# and Assessed Value of Parcels'!O5</f>
        <v>0.92172812725958064</v>
      </c>
      <c r="O10" s="101">
        <f>'# and Assessed Value of Parcels'!H5/'# and Assessed Value of Parcels'!P5</f>
        <v>0.73101366343961027</v>
      </c>
      <c r="P10" s="101">
        <f t="shared" ref="P10:P27" si="7">(N10+O10)/2</f>
        <v>0.8263708953495954</v>
      </c>
      <c r="Q10" s="102">
        <f>'Tax Levies and EQ Tax Rates'!I5</f>
        <v>23810385</v>
      </c>
      <c r="R10" s="102">
        <f t="shared" ref="R10:R27" si="8">P10*Q10</f>
        <v>19676209.171068575</v>
      </c>
      <c r="S10" s="103">
        <v>20629</v>
      </c>
      <c r="T10" s="102">
        <f t="shared" ref="T10:T27" si="9">R10/S10</f>
        <v>953.81303849282926</v>
      </c>
      <c r="U10" s="102">
        <f>'Tax Levies and EQ Tax Rates'!C5</f>
        <v>10152148</v>
      </c>
      <c r="V10" s="103">
        <v>4366</v>
      </c>
      <c r="W10" s="104">
        <f t="shared" ref="W10:W27" si="10">U10/V10</f>
        <v>2325.2743930371048</v>
      </c>
    </row>
    <row r="11" spans="1:28" ht="15.75" x14ac:dyDescent="0.25">
      <c r="A11" s="95" t="s">
        <v>27</v>
      </c>
      <c r="B11" s="96" t="s">
        <v>28</v>
      </c>
      <c r="C11" s="97">
        <f t="shared" si="0"/>
        <v>2460.8829704440413</v>
      </c>
      <c r="D11" s="18">
        <f t="shared" si="1"/>
        <v>6471.264595530236</v>
      </c>
      <c r="E11" s="18">
        <f t="shared" si="2"/>
        <v>8932.1475659742773</v>
      </c>
      <c r="F11" s="99">
        <f t="shared" si="3"/>
        <v>351721.76152984769</v>
      </c>
      <c r="G11" s="18">
        <f t="shared" si="4"/>
        <v>317665.39999999997</v>
      </c>
      <c r="H11" s="98">
        <v>373724</v>
      </c>
      <c r="I11" s="123">
        <f t="shared" si="5"/>
        <v>22002.238470152311</v>
      </c>
      <c r="J11" s="123">
        <f t="shared" ref="J11:J27" si="11">0.85*K11</f>
        <v>362854.87650000001</v>
      </c>
      <c r="K11" s="18">
        <v>426888.09</v>
      </c>
      <c r="L11" s="123">
        <f t="shared" si="6"/>
        <v>75166.328470152337</v>
      </c>
      <c r="M11" s="100">
        <f>'Tax Levies and EQ Tax Rates'!O7</f>
        <v>2.5395493094095287</v>
      </c>
      <c r="N11" s="101">
        <f>'# and Assessed Value of Parcels'!G7/'# and Assessed Value of Parcels'!O7</f>
        <v>0.98144233027953953</v>
      </c>
      <c r="O11" s="101">
        <f>'# and Assessed Value of Parcels'!H7/'# and Assessed Value of Parcels'!P7</f>
        <v>0.94433258765869066</v>
      </c>
      <c r="P11" s="101">
        <f t="shared" si="7"/>
        <v>0.9628874589691151</v>
      </c>
      <c r="Q11" s="102">
        <f>'Tax Levies and EQ Tax Rates'!I7</f>
        <v>17251960.34</v>
      </c>
      <c r="R11" s="102">
        <f t="shared" si="8"/>
        <v>16611696.254018551</v>
      </c>
      <c r="S11" s="103">
        <v>16923</v>
      </c>
      <c r="T11" s="102">
        <f t="shared" si="9"/>
        <v>981.60469503152819</v>
      </c>
      <c r="U11" s="102">
        <f>'Tax Levies and EQ Tax Rates'!C7</f>
        <v>35244453</v>
      </c>
      <c r="V11" s="103">
        <v>2282</v>
      </c>
      <c r="W11" s="104">
        <f t="shared" si="10"/>
        <v>15444.545574057844</v>
      </c>
    </row>
    <row r="12" spans="1:28" ht="15.75" x14ac:dyDescent="0.25">
      <c r="A12" s="95" t="s">
        <v>29</v>
      </c>
      <c r="B12" s="96" t="s">
        <v>30</v>
      </c>
      <c r="C12" s="97">
        <f t="shared" si="0"/>
        <v>1405.7625223743805</v>
      </c>
      <c r="D12" s="18">
        <f t="shared" si="1"/>
        <v>946.3442584351875</v>
      </c>
      <c r="E12" s="18">
        <f t="shared" si="2"/>
        <v>2352.1067808095681</v>
      </c>
      <c r="F12" s="99">
        <f t="shared" si="3"/>
        <v>88898.563782641999</v>
      </c>
      <c r="G12" s="18">
        <f t="shared" si="4"/>
        <v>139850.21666666665</v>
      </c>
      <c r="H12" s="98">
        <v>164529.66666666666</v>
      </c>
      <c r="I12" s="123">
        <f t="shared" si="5"/>
        <v>75631.102884024658</v>
      </c>
      <c r="J12" s="123">
        <f t="shared" si="11"/>
        <v>175809.76699999999</v>
      </c>
      <c r="K12" s="18">
        <v>206835.02</v>
      </c>
      <c r="L12" s="123">
        <f t="shared" si="6"/>
        <v>117936.45621735799</v>
      </c>
      <c r="M12" s="100">
        <f>'Tax Levies and EQ Tax Rates'!O18</f>
        <v>2.6458321492802699</v>
      </c>
      <c r="N12" s="101">
        <f>'# and Assessed Value of Parcels'!G18/'# and Assessed Value of Parcels'!O18</f>
        <v>0.84162883700821445</v>
      </c>
      <c r="O12" s="101">
        <f>'# and Assessed Value of Parcels'!H18/'# and Assessed Value of Parcels'!P18</f>
        <v>0.54365223337971258</v>
      </c>
      <c r="P12" s="101">
        <f t="shared" si="7"/>
        <v>0.69264053519396351</v>
      </c>
      <c r="Q12" s="102">
        <f>'Tax Levies and EQ Tax Rates'!I18</f>
        <v>252218004</v>
      </c>
      <c r="R12" s="102">
        <f t="shared" si="8"/>
        <v>174696413.27611324</v>
      </c>
      <c r="S12" s="103">
        <v>311549</v>
      </c>
      <c r="T12" s="102">
        <f t="shared" si="9"/>
        <v>560.73495108670943</v>
      </c>
      <c r="U12" s="102">
        <f>'Tax Levies and EQ Tax Rates'!C18</f>
        <v>135819599</v>
      </c>
      <c r="V12" s="103">
        <v>60135</v>
      </c>
      <c r="W12" s="104">
        <f t="shared" si="10"/>
        <v>2258.578182422882</v>
      </c>
    </row>
    <row r="13" spans="1:28" ht="15.75" x14ac:dyDescent="0.25">
      <c r="A13" s="95" t="s">
        <v>31</v>
      </c>
      <c r="B13" s="96" t="s">
        <v>32</v>
      </c>
      <c r="C13" s="97">
        <f t="shared" si="0"/>
        <v>1974.4170036211983</v>
      </c>
      <c r="D13" s="18">
        <f t="shared" si="1"/>
        <v>6851.7804296735903</v>
      </c>
      <c r="E13" s="18">
        <f t="shared" si="2"/>
        <v>8826.1974332947884</v>
      </c>
      <c r="F13" s="99">
        <f t="shared" si="3"/>
        <v>371119.59673508367</v>
      </c>
      <c r="G13" s="18">
        <f t="shared" si="4"/>
        <v>193957.95833333334</v>
      </c>
      <c r="H13" s="98">
        <v>228185.83333333334</v>
      </c>
      <c r="I13" s="123">
        <f t="shared" si="5"/>
        <v>-142933.76340175033</v>
      </c>
      <c r="J13" s="123">
        <f t="shared" si="11"/>
        <v>323265.61331723607</v>
      </c>
      <c r="K13" s="18">
        <v>380312.48625557189</v>
      </c>
      <c r="L13" s="123">
        <f t="shared" si="6"/>
        <v>9192.8895204882137</v>
      </c>
      <c r="M13" s="100">
        <f>'Tax Levies and EQ Tax Rates'!O20</f>
        <v>2.3782622935956663</v>
      </c>
      <c r="N13" s="101">
        <f>'# and Assessed Value of Parcels'!G20/'# and Assessed Value of Parcels'!O20</f>
        <v>0.95667524385135538</v>
      </c>
      <c r="O13" s="101">
        <f>'# and Assessed Value of Parcels'!H20/'# and Assessed Value of Parcels'!P20</f>
        <v>0.81220548036186702</v>
      </c>
      <c r="P13" s="101">
        <f t="shared" si="7"/>
        <v>0.88444036210661126</v>
      </c>
      <c r="Q13" s="102">
        <f>'Tax Levies and EQ Tax Rates'!I20</f>
        <v>44269379.890000001</v>
      </c>
      <c r="R13" s="102">
        <f t="shared" si="8"/>
        <v>39153626.380146734</v>
      </c>
      <c r="S13" s="103">
        <v>49715</v>
      </c>
      <c r="T13" s="102">
        <f t="shared" si="9"/>
        <v>787.561628887594</v>
      </c>
      <c r="U13" s="102">
        <f>'Tax Levies and EQ Tax Rates'!C20</f>
        <v>137771480</v>
      </c>
      <c r="V13" s="103">
        <v>8425</v>
      </c>
      <c r="W13" s="104">
        <f t="shared" si="10"/>
        <v>16352.697922848665</v>
      </c>
    </row>
    <row r="14" spans="1:28" ht="15.75" x14ac:dyDescent="0.25">
      <c r="A14" s="95" t="s">
        <v>31</v>
      </c>
      <c r="B14" s="96" t="s">
        <v>33</v>
      </c>
      <c r="C14" s="97">
        <f t="shared" si="0"/>
        <v>1317.6338999575396</v>
      </c>
      <c r="D14" s="18">
        <f t="shared" si="1"/>
        <v>5533.5223577447332</v>
      </c>
      <c r="E14" s="18">
        <f t="shared" si="2"/>
        <v>6851.1562577022723</v>
      </c>
      <c r="F14" s="99">
        <f t="shared" si="3"/>
        <v>406511.78355402866</v>
      </c>
      <c r="G14" s="18">
        <f t="shared" si="4"/>
        <v>111461.10714285714</v>
      </c>
      <c r="H14" s="98">
        <v>131130.71428571429</v>
      </c>
      <c r="I14" s="123">
        <f t="shared" si="5"/>
        <v>-275381.0692683144</v>
      </c>
      <c r="J14" s="123">
        <f t="shared" si="11"/>
        <v>319196.29539848724</v>
      </c>
      <c r="K14" s="18">
        <v>375525.05340998498</v>
      </c>
      <c r="L14" s="123">
        <f t="shared" si="6"/>
        <v>-30986.730144043686</v>
      </c>
      <c r="M14" s="100">
        <f>'Tax Levies and EQ Tax Rates'!O21</f>
        <v>1.6853524386930101</v>
      </c>
      <c r="N14" s="101">
        <f>'# and Assessed Value of Parcels'!G21/'# and Assessed Value of Parcels'!O21</f>
        <v>0.97122792306482886</v>
      </c>
      <c r="O14" s="101">
        <f>'# and Assessed Value of Parcels'!H21/'# and Assessed Value of Parcels'!P21</f>
        <v>0.88589383044965919</v>
      </c>
      <c r="P14" s="101">
        <f t="shared" si="7"/>
        <v>0.92856087675724397</v>
      </c>
      <c r="Q14" s="102">
        <f>'Tax Levies and EQ Tax Rates'!I21</f>
        <v>37853002.5</v>
      </c>
      <c r="R14" s="102">
        <f t="shared" si="8"/>
        <v>35148817.189294145</v>
      </c>
      <c r="S14" s="103">
        <v>66876</v>
      </c>
      <c r="T14" s="102">
        <f t="shared" si="9"/>
        <v>525.58193057739913</v>
      </c>
      <c r="U14" s="102">
        <f>'Tax Levies and EQ Tax Rates'!C21</f>
        <v>106576433</v>
      </c>
      <c r="V14" s="103">
        <v>8070</v>
      </c>
      <c r="W14" s="104">
        <f t="shared" si="10"/>
        <v>13206.49727385378</v>
      </c>
    </row>
    <row r="15" spans="1:28" ht="15.75" x14ac:dyDescent="0.25">
      <c r="A15" s="95" t="s">
        <v>31</v>
      </c>
      <c r="B15" s="96" t="s">
        <v>34</v>
      </c>
      <c r="C15" s="97">
        <f t="shared" si="0"/>
        <v>2082.3659793070105</v>
      </c>
      <c r="D15" s="18">
        <f t="shared" si="1"/>
        <v>5432.8865429131929</v>
      </c>
      <c r="E15" s="18">
        <f t="shared" si="2"/>
        <v>7515.2525222202039</v>
      </c>
      <c r="F15" s="99">
        <f t="shared" si="3"/>
        <v>318800.53113218839</v>
      </c>
      <c r="G15" s="18">
        <f t="shared" si="4"/>
        <v>260167.84062499998</v>
      </c>
      <c r="H15" s="98">
        <v>306079.8125</v>
      </c>
      <c r="I15" s="123">
        <f t="shared" si="5"/>
        <v>-12720.718632188393</v>
      </c>
      <c r="J15" s="123">
        <f t="shared" si="11"/>
        <v>276150.41366441554</v>
      </c>
      <c r="K15" s="18">
        <v>324882.83960519475</v>
      </c>
      <c r="L15" s="123">
        <f t="shared" si="6"/>
        <v>6082.3084730063565</v>
      </c>
      <c r="M15" s="100">
        <f>'Tax Levies and EQ Tax Rates'!O22</f>
        <v>2.357352572635476</v>
      </c>
      <c r="N15" s="101">
        <f>'# and Assessed Value of Parcels'!G22/'# and Assessed Value of Parcels'!O22</f>
        <v>0.92460317460317465</v>
      </c>
      <c r="O15" s="101">
        <f>'# and Assessed Value of Parcels'!H22/'# and Assessed Value of Parcels'!P22</f>
        <v>0.82398227250676292</v>
      </c>
      <c r="P15" s="101">
        <f t="shared" si="7"/>
        <v>0.87429272355496879</v>
      </c>
      <c r="Q15" s="102">
        <f>'Tax Levies and EQ Tax Rates'!I22</f>
        <v>13904912.58</v>
      </c>
      <c r="R15" s="102">
        <f t="shared" si="8"/>
        <v>12156963.890361948</v>
      </c>
      <c r="S15" s="103">
        <v>14636</v>
      </c>
      <c r="T15" s="102">
        <f t="shared" si="9"/>
        <v>830.62065389190684</v>
      </c>
      <c r="U15" s="102">
        <f>'Tax Levies and EQ Tax Rates'!C22</f>
        <v>26438319</v>
      </c>
      <c r="V15" s="103">
        <v>2039</v>
      </c>
      <c r="W15" s="104">
        <f t="shared" si="10"/>
        <v>12966.316331535067</v>
      </c>
    </row>
    <row r="16" spans="1:28" ht="15.75" x14ac:dyDescent="0.25">
      <c r="A16" s="95" t="s">
        <v>31</v>
      </c>
      <c r="B16" s="96" t="s">
        <v>35</v>
      </c>
      <c r="C16" s="97">
        <f t="shared" si="0"/>
        <v>1781.7236289823722</v>
      </c>
      <c r="D16" s="18">
        <f t="shared" si="1"/>
        <v>4303.8122682889962</v>
      </c>
      <c r="E16" s="18">
        <f t="shared" si="2"/>
        <v>6085.5358972713684</v>
      </c>
      <c r="F16" s="99">
        <f t="shared" si="3"/>
        <v>309011.80899611232</v>
      </c>
      <c r="G16" s="18">
        <f t="shared" si="4"/>
        <v>177373.81799999997</v>
      </c>
      <c r="H16" s="98">
        <v>208675.08</v>
      </c>
      <c r="I16" s="123">
        <f t="shared" si="5"/>
        <v>-100336.72899611233</v>
      </c>
      <c r="J16" s="123">
        <f t="shared" si="11"/>
        <v>281311.54671308468</v>
      </c>
      <c r="K16" s="18">
        <v>330954.76083892316</v>
      </c>
      <c r="L16" s="123">
        <f t="shared" si="6"/>
        <v>21942.951842810842</v>
      </c>
      <c r="M16" s="100">
        <f>'Tax Levies and EQ Tax Rates'!O23</f>
        <v>1.9693538305353018</v>
      </c>
      <c r="N16" s="101">
        <f>'# and Assessed Value of Parcels'!G23/'# and Assessed Value of Parcels'!O23</f>
        <v>0.96279666452854396</v>
      </c>
      <c r="O16" s="101">
        <f>'# and Assessed Value of Parcels'!H23/'# and Assessed Value of Parcels'!P23</f>
        <v>0.85286917759426784</v>
      </c>
      <c r="P16" s="101">
        <f t="shared" si="7"/>
        <v>0.9078329210614059</v>
      </c>
      <c r="Q16" s="102">
        <f>'Tax Levies and EQ Tax Rates'!I23</f>
        <v>35498457.659999996</v>
      </c>
      <c r="R16" s="102">
        <f t="shared" si="8"/>
        <v>32226668.510652438</v>
      </c>
      <c r="S16" s="103">
        <v>45345</v>
      </c>
      <c r="T16" s="102">
        <f t="shared" si="9"/>
        <v>710.69949301251381</v>
      </c>
      <c r="U16" s="102">
        <f>'Tax Levies and EQ Tax Rates'!C23</f>
        <v>67957093</v>
      </c>
      <c r="V16" s="103">
        <v>6616</v>
      </c>
      <c r="W16" s="104">
        <f t="shared" si="10"/>
        <v>10271.628325272068</v>
      </c>
    </row>
    <row r="17" spans="1:23" ht="15.75" x14ac:dyDescent="0.25">
      <c r="A17" s="95" t="s">
        <v>31</v>
      </c>
      <c r="B17" s="96" t="s">
        <v>36</v>
      </c>
      <c r="C17" s="97">
        <f t="shared" si="0"/>
        <v>1530.3094348017294</v>
      </c>
      <c r="D17" s="18">
        <f t="shared" si="1"/>
        <v>3126.4034740953944</v>
      </c>
      <c r="E17" s="18">
        <f t="shared" si="2"/>
        <v>4656.7129088971233</v>
      </c>
      <c r="F17" s="99">
        <f t="shared" si="3"/>
        <v>245497.81287946072</v>
      </c>
      <c r="G17" s="18">
        <f t="shared" si="4"/>
        <v>138949.21666666665</v>
      </c>
      <c r="H17" s="98">
        <v>163469.66666666666</v>
      </c>
      <c r="I17" s="123">
        <f t="shared" si="5"/>
        <v>-82028.146212794061</v>
      </c>
      <c r="J17" s="123">
        <f t="shared" si="11"/>
        <v>249449.42313071046</v>
      </c>
      <c r="K17" s="18">
        <v>293469.90956554172</v>
      </c>
      <c r="L17" s="123">
        <f t="shared" si="6"/>
        <v>47972.096686081</v>
      </c>
      <c r="M17" s="100">
        <f>'Tax Levies and EQ Tax Rates'!O24</f>
        <v>1.8968449674879859</v>
      </c>
      <c r="N17" s="101">
        <f>'# and Assessed Value of Parcels'!G24/'# and Assessed Value of Parcels'!O24</f>
        <v>0.95376862401402274</v>
      </c>
      <c r="O17" s="101">
        <f>'# and Assessed Value of Parcels'!H24/'# and Assessed Value of Parcels'!P24</f>
        <v>0.87694473065069911</v>
      </c>
      <c r="P17" s="101">
        <f t="shared" si="7"/>
        <v>0.91535667733236092</v>
      </c>
      <c r="Q17" s="102">
        <f>'Tax Levies and EQ Tax Rates'!I24</f>
        <v>10748447</v>
      </c>
      <c r="R17" s="102">
        <f t="shared" si="8"/>
        <v>9838662.7324029822</v>
      </c>
      <c r="S17" s="103">
        <v>16118</v>
      </c>
      <c r="T17" s="102">
        <f t="shared" si="9"/>
        <v>610.41461300427977</v>
      </c>
      <c r="U17" s="102">
        <f>'Tax Levies and EQ Tax Rates'!C24</f>
        <v>18146571</v>
      </c>
      <c r="V17" s="103">
        <v>2432</v>
      </c>
      <c r="W17" s="104">
        <f t="shared" si="10"/>
        <v>7461.5834703947367</v>
      </c>
    </row>
    <row r="18" spans="1:23" ht="15.75" x14ac:dyDescent="0.25">
      <c r="A18" s="95" t="s">
        <v>31</v>
      </c>
      <c r="B18" s="96" t="s">
        <v>37</v>
      </c>
      <c r="C18" s="97">
        <f t="shared" si="0"/>
        <v>2105.6043748699826</v>
      </c>
      <c r="D18" s="18">
        <f t="shared" si="1"/>
        <v>5559.2429289792499</v>
      </c>
      <c r="E18" s="18">
        <f t="shared" si="2"/>
        <v>7664.847303849232</v>
      </c>
      <c r="F18" s="99">
        <f t="shared" si="3"/>
        <v>327633.77917357953</v>
      </c>
      <c r="G18" s="18">
        <f t="shared" si="4"/>
        <v>197913.71994219653</v>
      </c>
      <c r="H18" s="98">
        <v>232839.67052023122</v>
      </c>
      <c r="I18" s="123">
        <f t="shared" si="5"/>
        <v>-94794.108653348318</v>
      </c>
      <c r="J18" s="123">
        <f t="shared" si="11"/>
        <v>261476.57999613631</v>
      </c>
      <c r="K18" s="18">
        <v>307619.50587780745</v>
      </c>
      <c r="L18" s="123">
        <f t="shared" si="6"/>
        <v>-20014.273295772087</v>
      </c>
      <c r="M18" s="100">
        <f>'Tax Levies and EQ Tax Rates'!O25</f>
        <v>2.3394557555032858</v>
      </c>
      <c r="N18" s="101">
        <f>'# and Assessed Value of Parcels'!G25/'# and Assessed Value of Parcels'!O25</f>
        <v>0.95527753810756399</v>
      </c>
      <c r="O18" s="101">
        <f>'# and Assessed Value of Parcels'!H25/'# and Assessed Value of Parcels'!P25</f>
        <v>0.7164271010805654</v>
      </c>
      <c r="P18" s="101">
        <f t="shared" si="7"/>
        <v>0.8358523195940647</v>
      </c>
      <c r="Q18" s="102">
        <f>'Tax Levies and EQ Tax Rates'!I25</f>
        <v>104139647.23</v>
      </c>
      <c r="R18" s="102">
        <f t="shared" si="8"/>
        <v>87045365.698903114</v>
      </c>
      <c r="S18" s="103">
        <v>103639</v>
      </c>
      <c r="T18" s="102">
        <f t="shared" si="9"/>
        <v>839.89005778619162</v>
      </c>
      <c r="U18" s="102">
        <f>'Tax Levies and EQ Tax Rates'!C25</f>
        <v>190553334</v>
      </c>
      <c r="V18" s="103">
        <v>14362</v>
      </c>
      <c r="W18" s="104">
        <f t="shared" si="10"/>
        <v>13267.882885392006</v>
      </c>
    </row>
    <row r="19" spans="1:23" ht="15.75" x14ac:dyDescent="0.25">
      <c r="A19" s="95" t="s">
        <v>38</v>
      </c>
      <c r="B19" s="96" t="s">
        <v>39</v>
      </c>
      <c r="C19" s="97">
        <f t="shared" si="0"/>
        <v>2860.0045640177641</v>
      </c>
      <c r="D19" s="18">
        <f t="shared" si="1"/>
        <v>1246.4028308988763</v>
      </c>
      <c r="E19" s="18">
        <f t="shared" si="2"/>
        <v>4106.4073949166404</v>
      </c>
      <c r="F19" s="99">
        <f t="shared" si="3"/>
        <v>152244.13867389358</v>
      </c>
      <c r="G19" s="18">
        <f t="shared" si="4"/>
        <v>114510.9375</v>
      </c>
      <c r="H19" s="98">
        <v>134718.75</v>
      </c>
      <c r="I19" s="123">
        <f t="shared" si="5"/>
        <v>-17525.388673893583</v>
      </c>
      <c r="J19" s="123">
        <f t="shared" si="11"/>
        <v>156307.43741866684</v>
      </c>
      <c r="K19" s="18">
        <v>183891.10284549042</v>
      </c>
      <c r="L19" s="123">
        <f t="shared" si="6"/>
        <v>31646.964171596832</v>
      </c>
      <c r="M19" s="100">
        <f>'Tax Levies and EQ Tax Rates'!O26</f>
        <v>2.6972515531205774</v>
      </c>
      <c r="N19" s="101">
        <f>'# and Assessed Value of Parcels'!G26/'# and Assessed Value of Parcels'!O26</f>
        <v>0.96441281138790036</v>
      </c>
      <c r="O19" s="101">
        <f>'# and Assessed Value of Parcels'!H26/'# and Assessed Value of Parcels'!P26</f>
        <v>0.88303144331890093</v>
      </c>
      <c r="P19" s="101">
        <f t="shared" si="7"/>
        <v>0.92372212735340065</v>
      </c>
      <c r="Q19" s="102">
        <f>'Tax Levies and EQ Tax Rates'!I26</f>
        <v>12047538.390000001</v>
      </c>
      <c r="R19" s="102">
        <f t="shared" si="8"/>
        <v>11128577.790982563</v>
      </c>
      <c r="S19" s="103">
        <v>9755</v>
      </c>
      <c r="T19" s="102">
        <f t="shared" si="9"/>
        <v>1140.8075644267108</v>
      </c>
      <c r="U19" s="102">
        <f>'Tax Levies and EQ Tax Rates'!C26</f>
        <v>5294981</v>
      </c>
      <c r="V19" s="103">
        <v>1780</v>
      </c>
      <c r="W19" s="104">
        <f t="shared" si="10"/>
        <v>2974.7084269662923</v>
      </c>
    </row>
    <row r="20" spans="1:23" ht="15.75" x14ac:dyDescent="0.25">
      <c r="A20" s="95" t="s">
        <v>38</v>
      </c>
      <c r="B20" s="96" t="s">
        <v>40</v>
      </c>
      <c r="C20" s="97">
        <f t="shared" si="0"/>
        <v>1448.9358864858825</v>
      </c>
      <c r="D20" s="18">
        <f t="shared" si="1"/>
        <v>5729.8484543776913</v>
      </c>
      <c r="E20" s="18">
        <f t="shared" si="2"/>
        <v>7178.7843408635736</v>
      </c>
      <c r="F20" s="99">
        <f t="shared" si="3"/>
        <v>443493.85315066169</v>
      </c>
      <c r="G20" s="18">
        <f t="shared" si="4"/>
        <v>248253.125</v>
      </c>
      <c r="H20" s="98">
        <v>292062.5</v>
      </c>
      <c r="I20" s="123">
        <f t="shared" si="5"/>
        <v>-151431.35315066169</v>
      </c>
      <c r="J20" s="123">
        <f t="shared" si="11"/>
        <v>408414.2677308626</v>
      </c>
      <c r="K20" s="18">
        <v>480487.37380101485</v>
      </c>
      <c r="L20" s="123">
        <f t="shared" si="6"/>
        <v>36993.520650353166</v>
      </c>
      <c r="M20" s="100">
        <f>'Tax Levies and EQ Tax Rates'!O27</f>
        <v>1.6186885770488524</v>
      </c>
      <c r="N20" s="101">
        <f>'# and Assessed Value of Parcels'!G27/'# and Assessed Value of Parcels'!O27</f>
        <v>0.97272104180945851</v>
      </c>
      <c r="O20" s="101">
        <f>'# and Assessed Value of Parcels'!H27/'# and Assessed Value of Parcels'!P27</f>
        <v>0.92205750411890763</v>
      </c>
      <c r="P20" s="101">
        <f t="shared" si="7"/>
        <v>0.94738927296418307</v>
      </c>
      <c r="Q20" s="102">
        <f>'Tax Levies and EQ Tax Rates'!I27</f>
        <v>24954149.290000003</v>
      </c>
      <c r="R20" s="102">
        <f t="shared" si="8"/>
        <v>23641293.353292789</v>
      </c>
      <c r="S20" s="103">
        <v>40905</v>
      </c>
      <c r="T20" s="102">
        <f t="shared" si="9"/>
        <v>577.95607757713697</v>
      </c>
      <c r="U20" s="102">
        <f>'Tax Levies and EQ Tax Rates'!C27</f>
        <v>66693248</v>
      </c>
      <c r="V20" s="103">
        <v>4877</v>
      </c>
      <c r="W20" s="104">
        <f t="shared" si="10"/>
        <v>13675.055977035063</v>
      </c>
    </row>
    <row r="21" spans="1:23" ht="15.75" customHeight="1" x14ac:dyDescent="0.25">
      <c r="A21" s="95" t="s">
        <v>41</v>
      </c>
      <c r="B21" s="96" t="s">
        <v>42</v>
      </c>
      <c r="C21" s="97">
        <f t="shared" si="0"/>
        <v>1909.5570332949562</v>
      </c>
      <c r="D21" s="18">
        <f t="shared" si="1"/>
        <v>676.86960062753542</v>
      </c>
      <c r="E21" s="18">
        <f t="shared" si="2"/>
        <v>2586.4266339224914</v>
      </c>
      <c r="F21" s="99">
        <f t="shared" si="3"/>
        <v>100097.16817327155</v>
      </c>
      <c r="G21" s="18">
        <f t="shared" si="4"/>
        <v>108548.50199999999</v>
      </c>
      <c r="H21" s="98">
        <v>127704.12</v>
      </c>
      <c r="I21" s="123">
        <f t="shared" si="5"/>
        <v>27606.951826728444</v>
      </c>
      <c r="J21" s="123">
        <f t="shared" si="11"/>
        <v>220166.64474201598</v>
      </c>
      <c r="K21" s="18">
        <v>259019.58204943058</v>
      </c>
      <c r="L21" s="123">
        <f t="shared" si="6"/>
        <v>158922.41387615903</v>
      </c>
      <c r="M21" s="100">
        <f>'Tax Levies and EQ Tax Rates'!O33</f>
        <v>2.5839158900532531</v>
      </c>
      <c r="N21" s="101">
        <f>'# and Assessed Value of Parcels'!G33/'# and Assessed Value of Parcels'!O33</f>
        <v>0.8215948144603471</v>
      </c>
      <c r="O21" s="101">
        <f>'# and Assessed Value of Parcels'!H33/'# and Assessed Value of Parcels'!P33</f>
        <v>0.65337602486817126</v>
      </c>
      <c r="P21" s="101">
        <f t="shared" si="7"/>
        <v>0.73748541966425918</v>
      </c>
      <c r="Q21" s="102">
        <f>'Tax Levies and EQ Tax Rates'!I33</f>
        <v>164974488.69999999</v>
      </c>
      <c r="R21" s="102">
        <f t="shared" si="8"/>
        <v>121666280.03281608</v>
      </c>
      <c r="S21" s="103">
        <v>159732</v>
      </c>
      <c r="T21" s="102">
        <f t="shared" si="9"/>
        <v>761.69008109092783</v>
      </c>
      <c r="U21" s="102">
        <f>'Tax Levies and EQ Tax Rates'!C33</f>
        <v>50970381</v>
      </c>
      <c r="V21" s="103">
        <v>31552</v>
      </c>
      <c r="W21" s="104">
        <f t="shared" si="10"/>
        <v>1615.4405742900608</v>
      </c>
    </row>
    <row r="22" spans="1:23" ht="15.75" customHeight="1" x14ac:dyDescent="0.25">
      <c r="A22" s="95" t="s">
        <v>41</v>
      </c>
      <c r="B22" s="96" t="s">
        <v>43</v>
      </c>
      <c r="C22" s="97">
        <f t="shared" si="0"/>
        <v>2226.9444271996413</v>
      </c>
      <c r="D22" s="18">
        <f t="shared" si="1"/>
        <v>5551.9684863049097</v>
      </c>
      <c r="E22" s="18">
        <f t="shared" si="2"/>
        <v>7778.9129135045514</v>
      </c>
      <c r="F22" s="99">
        <f t="shared" si="3"/>
        <v>272854.57828007214</v>
      </c>
      <c r="G22" s="18">
        <f t="shared" si="4"/>
        <v>236281.31393442623</v>
      </c>
      <c r="H22" s="98">
        <v>277978.01639344264</v>
      </c>
      <c r="I22" s="123">
        <f t="shared" si="5"/>
        <v>5123.4381133705028</v>
      </c>
      <c r="J22" s="123">
        <f t="shared" si="11"/>
        <v>252458.25732538983</v>
      </c>
      <c r="K22" s="18">
        <v>297009.71450045862</v>
      </c>
      <c r="L22" s="123">
        <f t="shared" si="6"/>
        <v>24155.136220386485</v>
      </c>
      <c r="M22" s="100">
        <f>'Tax Levies and EQ Tax Rates'!O34</f>
        <v>2.8509372877444887</v>
      </c>
      <c r="N22" s="101">
        <f>'# and Assessed Value of Parcels'!G34/'# and Assessed Value of Parcels'!O34</f>
        <v>0.95521999479302266</v>
      </c>
      <c r="O22" s="101">
        <f>'# and Assessed Value of Parcels'!H34/'# and Assessed Value of Parcels'!P34</f>
        <v>0.87552226480698236</v>
      </c>
      <c r="P22" s="101">
        <f t="shared" si="7"/>
        <v>0.91537112980000246</v>
      </c>
      <c r="Q22" s="102">
        <f>'Tax Levies and EQ Tax Rates'!I34</f>
        <v>10797816</v>
      </c>
      <c r="R22" s="102">
        <f t="shared" si="8"/>
        <v>9884009.0312925428</v>
      </c>
      <c r="S22" s="103">
        <v>11127</v>
      </c>
      <c r="T22" s="102">
        <f t="shared" si="9"/>
        <v>888.29055731936216</v>
      </c>
      <c r="U22" s="102">
        <f>'Tax Levies and EQ Tax Rates'!C34</f>
        <v>25639759</v>
      </c>
      <c r="V22" s="103">
        <v>1935</v>
      </c>
      <c r="W22" s="104">
        <f t="shared" si="10"/>
        <v>13250.521447028425</v>
      </c>
    </row>
    <row r="23" spans="1:23" ht="15.75" customHeight="1" x14ac:dyDescent="0.25">
      <c r="A23" s="95" t="s">
        <v>41</v>
      </c>
      <c r="B23" s="96" t="s">
        <v>44</v>
      </c>
      <c r="C23" s="97">
        <f t="shared" si="0"/>
        <v>2517.1313040126993</v>
      </c>
      <c r="D23" s="18">
        <f t="shared" si="1"/>
        <v>8338.547139012313</v>
      </c>
      <c r="E23" s="18">
        <f t="shared" si="2"/>
        <v>10855.678443025012</v>
      </c>
      <c r="F23" s="99">
        <f t="shared" si="3"/>
        <v>534432.41174667177</v>
      </c>
      <c r="G23" s="18">
        <f t="shared" si="4"/>
        <v>130321.46820512821</v>
      </c>
      <c r="H23" s="98">
        <v>153319.37435897437</v>
      </c>
      <c r="I23" s="123">
        <f t="shared" si="5"/>
        <v>-381113.03738769738</v>
      </c>
      <c r="J23" s="123">
        <f t="shared" si="11"/>
        <v>406169.21612363722</v>
      </c>
      <c r="K23" s="18">
        <v>477846.1366160438</v>
      </c>
      <c r="L23" s="123">
        <f t="shared" si="6"/>
        <v>-56586.275130627968</v>
      </c>
      <c r="M23" s="100">
        <f>'Tax Levies and EQ Tax Rates'!O35</f>
        <v>2.0312537571487619</v>
      </c>
      <c r="N23" s="101">
        <f>'# and Assessed Value of Parcels'!G35/'# and Assessed Value of Parcels'!O35</f>
        <v>0.95973428121904314</v>
      </c>
      <c r="O23" s="101">
        <f>'# and Assessed Value of Parcels'!H35/'# and Assessed Value of Parcels'!P35</f>
        <v>0.74630979334649838</v>
      </c>
      <c r="P23" s="101">
        <f t="shared" si="7"/>
        <v>0.85302203728277082</v>
      </c>
      <c r="Q23" s="102">
        <f>'Tax Levies and EQ Tax Rates'!I35</f>
        <v>64546529</v>
      </c>
      <c r="R23" s="102">
        <f t="shared" si="8"/>
        <v>55059611.667111449</v>
      </c>
      <c r="S23" s="103">
        <v>54838</v>
      </c>
      <c r="T23" s="102">
        <f t="shared" si="9"/>
        <v>1004.0412062276423</v>
      </c>
      <c r="U23" s="102">
        <f>'Tax Levies and EQ Tax Rates'!C35</f>
        <v>156760706</v>
      </c>
      <c r="V23" s="103">
        <v>7877</v>
      </c>
      <c r="W23" s="104">
        <f t="shared" si="10"/>
        <v>19901.067157547288</v>
      </c>
    </row>
    <row r="24" spans="1:23" ht="15.75" customHeight="1" x14ac:dyDescent="0.25">
      <c r="A24" s="95" t="s">
        <v>45</v>
      </c>
      <c r="B24" s="96" t="s">
        <v>46</v>
      </c>
      <c r="C24" s="97">
        <f t="shared" si="0"/>
        <v>1376.8740343292368</v>
      </c>
      <c r="D24" s="18">
        <f t="shared" si="1"/>
        <v>7482.9582895638814</v>
      </c>
      <c r="E24" s="18">
        <f t="shared" si="2"/>
        <v>8859.8323238931189</v>
      </c>
      <c r="F24" s="99">
        <f t="shared" si="3"/>
        <v>545836.64217466197</v>
      </c>
      <c r="G24" s="18">
        <f t="shared" si="4"/>
        <v>120389.325</v>
      </c>
      <c r="H24" s="98">
        <v>141634.5</v>
      </c>
      <c r="I24" s="123">
        <f t="shared" si="5"/>
        <v>-404202.14217466197</v>
      </c>
      <c r="J24" s="123">
        <f t="shared" si="11"/>
        <v>314061.34312230931</v>
      </c>
      <c r="K24" s="18">
        <v>369483.93308506976</v>
      </c>
      <c r="L24" s="123">
        <f t="shared" si="6"/>
        <v>-176352.70908959222</v>
      </c>
      <c r="M24" s="100">
        <f>'Tax Levies and EQ Tax Rates'!O38</f>
        <v>1.6231655479549254</v>
      </c>
      <c r="N24" s="101">
        <f>'# and Assessed Value of Parcels'!G38/'# and Assessed Value of Parcels'!O38</f>
        <v>0.966461229754909</v>
      </c>
      <c r="O24" s="101">
        <f>'# and Assessed Value of Parcels'!H38/'# and Assessed Value of Parcels'!P38</f>
        <v>0.74002784885113326</v>
      </c>
      <c r="P24" s="101">
        <f t="shared" si="7"/>
        <v>0.85324453930302113</v>
      </c>
      <c r="Q24" s="102">
        <f>'Tax Levies and EQ Tax Rates'!I38</f>
        <v>44004169</v>
      </c>
      <c r="R24" s="102">
        <f t="shared" si="8"/>
        <v>37546316.905817285</v>
      </c>
      <c r="S24" s="103">
        <v>68364</v>
      </c>
      <c r="T24" s="102">
        <f t="shared" si="9"/>
        <v>549.21182063391973</v>
      </c>
      <c r="U24" s="102">
        <f>'Tax Levies and EQ Tax Rates'!C38</f>
        <v>151105752</v>
      </c>
      <c r="V24" s="103">
        <v>8461</v>
      </c>
      <c r="W24" s="104">
        <f t="shared" si="10"/>
        <v>17859.088996572511</v>
      </c>
    </row>
    <row r="25" spans="1:23" ht="15.75" customHeight="1" x14ac:dyDescent="0.25">
      <c r="A25" s="95" t="s">
        <v>45</v>
      </c>
      <c r="B25" s="96" t="s">
        <v>47</v>
      </c>
      <c r="C25" s="97">
        <f t="shared" si="0"/>
        <v>1982.1463594749639</v>
      </c>
      <c r="D25" s="18">
        <f t="shared" si="1"/>
        <v>3966.0645126964932</v>
      </c>
      <c r="E25" s="18">
        <f t="shared" si="2"/>
        <v>5948.2108721714576</v>
      </c>
      <c r="F25" s="99">
        <f t="shared" si="3"/>
        <v>225452.93753200182</v>
      </c>
      <c r="G25" s="18">
        <f>0.85*H25</f>
        <v>165344.49263803681</v>
      </c>
      <c r="H25" s="98">
        <v>194522.93251533742</v>
      </c>
      <c r="I25" s="123">
        <f t="shared" si="5"/>
        <v>-30930.005016664392</v>
      </c>
      <c r="J25" s="123">
        <f t="shared" si="11"/>
        <v>215308.2759071952</v>
      </c>
      <c r="K25" s="18">
        <v>253303.85400846496</v>
      </c>
      <c r="L25" s="123">
        <f t="shared" si="6"/>
        <v>27850.916476463142</v>
      </c>
      <c r="M25" s="100">
        <f>'Tax Levies and EQ Tax Rates'!O39</f>
        <v>2.6383381548653104</v>
      </c>
      <c r="N25" s="101">
        <f>'# and Assessed Value of Parcels'!G39/'# and Assessed Value of Parcels'!O39</f>
        <v>0.95111773472429206</v>
      </c>
      <c r="O25" s="101">
        <f>'# and Assessed Value of Parcels'!H39/'# and Assessed Value of Parcels'!P39</f>
        <v>0.86385134818830744</v>
      </c>
      <c r="P25" s="101">
        <f t="shared" si="7"/>
        <v>0.90748454145629975</v>
      </c>
      <c r="Q25" s="102">
        <f>'Tax Levies and EQ Tax Rates'!I39</f>
        <v>9542787.1500000004</v>
      </c>
      <c r="R25" s="102">
        <f t="shared" si="8"/>
        <v>8659931.8210328203</v>
      </c>
      <c r="S25" s="103">
        <v>10953</v>
      </c>
      <c r="T25" s="102">
        <f t="shared" si="9"/>
        <v>790.64473852212359</v>
      </c>
      <c r="U25" s="102">
        <f>'Tax Levies and EQ Tax Rates'!C39</f>
        <v>15656016</v>
      </c>
      <c r="V25" s="103">
        <v>1654</v>
      </c>
      <c r="W25" s="104">
        <f t="shared" si="10"/>
        <v>9465.5477629987909</v>
      </c>
    </row>
    <row r="26" spans="1:23" ht="15.75" customHeight="1" x14ac:dyDescent="0.25">
      <c r="A26" s="95" t="s">
        <v>48</v>
      </c>
      <c r="B26" s="96" t="s">
        <v>49</v>
      </c>
      <c r="C26" s="97">
        <f t="shared" si="0"/>
        <v>2580.1510073358859</v>
      </c>
      <c r="D26" s="18">
        <f t="shared" si="1"/>
        <v>5995.8184696233293</v>
      </c>
      <c r="E26" s="18">
        <f t="shared" si="2"/>
        <v>8575.9694769592152</v>
      </c>
      <c r="F26" s="99">
        <f t="shared" si="3"/>
        <v>369432.23558810249</v>
      </c>
      <c r="G26" s="18">
        <f t="shared" ref="G26:G27" si="12">0.85*H26</f>
        <v>177374.36199999999</v>
      </c>
      <c r="H26" s="98">
        <v>208675.72</v>
      </c>
      <c r="I26" s="123">
        <f t="shared" si="5"/>
        <v>-160756.51558810248</v>
      </c>
      <c r="J26" s="123">
        <f t="shared" si="11"/>
        <v>277672.67338626937</v>
      </c>
      <c r="K26" s="18">
        <v>326673.73339561105</v>
      </c>
      <c r="L26" s="123">
        <f t="shared" si="6"/>
        <v>-42758.502192491433</v>
      </c>
      <c r="M26" s="100">
        <f>'Tax Levies and EQ Tax Rates'!O40</f>
        <v>2.3213917603338139</v>
      </c>
      <c r="N26" s="101">
        <f>'# and Assessed Value of Parcels'!G40/'# and Assessed Value of Parcels'!O40</f>
        <v>0.90298507462686572</v>
      </c>
      <c r="O26" s="101">
        <f>'# and Assessed Value of Parcels'!H40/'# and Assessed Value of Parcels'!P40</f>
        <v>0.53546516271707922</v>
      </c>
      <c r="P26" s="101">
        <f t="shared" si="7"/>
        <v>0.71922511867197247</v>
      </c>
      <c r="Q26" s="102">
        <f>'Tax Levies and EQ Tax Rates'!I40</f>
        <v>62587105.100000001</v>
      </c>
      <c r="R26" s="102">
        <f t="shared" si="8"/>
        <v>45014218.092882715</v>
      </c>
      <c r="S26" s="103">
        <v>43738</v>
      </c>
      <c r="T26" s="102">
        <f t="shared" si="9"/>
        <v>1029.1787025671663</v>
      </c>
      <c r="U26" s="102">
        <f>'Tax Levies and EQ Tax Rates'!C40</f>
        <v>94215916</v>
      </c>
      <c r="V26" s="103">
        <v>6584</v>
      </c>
      <c r="W26" s="104">
        <f t="shared" si="10"/>
        <v>14309.829283110572</v>
      </c>
    </row>
    <row r="27" spans="1:23" ht="15.75" customHeight="1" x14ac:dyDescent="0.25">
      <c r="A27" s="105" t="s">
        <v>48</v>
      </c>
      <c r="B27" s="106" t="s">
        <v>50</v>
      </c>
      <c r="C27" s="107">
        <f t="shared" si="0"/>
        <v>2774.7627319766302</v>
      </c>
      <c r="D27" s="108">
        <f t="shared" si="1"/>
        <v>4597.8768276863502</v>
      </c>
      <c r="E27" s="108">
        <f t="shared" si="2"/>
        <v>7372.6395596629809</v>
      </c>
      <c r="F27" s="109">
        <f t="shared" si="3"/>
        <v>255510.80068276866</v>
      </c>
      <c r="G27" s="18">
        <f t="shared" si="12"/>
        <v>224658.87499999997</v>
      </c>
      <c r="H27" s="98">
        <v>264304.5588235294</v>
      </c>
      <c r="I27" s="123">
        <f t="shared" si="5"/>
        <v>8793.7581407607358</v>
      </c>
      <c r="J27" s="123">
        <f t="shared" si="11"/>
        <v>230872.60054319908</v>
      </c>
      <c r="K27" s="108">
        <v>271614.82416846952</v>
      </c>
      <c r="L27" s="124">
        <f t="shared" si="6"/>
        <v>16104.023485700862</v>
      </c>
      <c r="M27" s="110">
        <f>'Tax Levies and EQ Tax Rates'!O41</f>
        <v>2.885451237271389</v>
      </c>
      <c r="N27" s="111">
        <f>'# and Assessed Value of Parcels'!G41/'# and Assessed Value of Parcels'!O41</f>
        <v>0.94367816091954027</v>
      </c>
      <c r="O27" s="111">
        <f>'# and Assessed Value of Parcels'!H41/'# and Assessed Value of Parcels'!P41</f>
        <v>0.73460247640646714</v>
      </c>
      <c r="P27" s="111">
        <f t="shared" si="7"/>
        <v>0.83914031866300376</v>
      </c>
      <c r="Q27" s="112">
        <f>'Tax Levies and EQ Tax Rates'!I41</f>
        <v>38983658</v>
      </c>
      <c r="R27" s="112">
        <f t="shared" si="8"/>
        <v>32712759.196769554</v>
      </c>
      <c r="S27" s="113">
        <v>29556</v>
      </c>
      <c r="T27" s="112">
        <f t="shared" si="9"/>
        <v>1106.8060358901596</v>
      </c>
      <c r="U27" s="112">
        <f>'Tax Levies and EQ Tax Rates'!C41</f>
        <v>45342308</v>
      </c>
      <c r="V27" s="113">
        <v>4132</v>
      </c>
      <c r="W27" s="114">
        <f t="shared" si="10"/>
        <v>10973.453049370764</v>
      </c>
    </row>
    <row r="28" spans="1:23" ht="15.75" customHeight="1" x14ac:dyDescent="0.25">
      <c r="C28" s="148">
        <f>AVERAGE(C10:C27)</f>
        <v>2040.3564694437471</v>
      </c>
      <c r="D28" s="116">
        <f t="shared" ref="D28:W28" si="13">AVERAGE(D10:D27)</f>
        <v>4599.2167465074726</v>
      </c>
      <c r="E28" s="116">
        <f t="shared" si="13"/>
        <v>6639.5732159512181</v>
      </c>
      <c r="F28" s="116">
        <f t="shared" si="13"/>
        <v>299753.24292543274</v>
      </c>
      <c r="G28" s="116">
        <f t="shared" si="13"/>
        <v>173012.3015919062</v>
      </c>
      <c r="H28" s="116">
        <f t="shared" si="13"/>
        <v>203543.88422577202</v>
      </c>
      <c r="I28" s="116">
        <f t="shared" si="13"/>
        <v>-96209.358699660792</v>
      </c>
      <c r="J28" s="116">
        <f t="shared" si="13"/>
        <v>267475.19917366584</v>
      </c>
      <c r="K28" s="116">
        <f t="shared" si="13"/>
        <v>314676.7049101952</v>
      </c>
      <c r="L28" s="116">
        <f t="shared" si="13"/>
        <v>14923.461984762418</v>
      </c>
      <c r="M28" s="146">
        <f t="shared" si="13"/>
        <v>2.4129290581626734</v>
      </c>
      <c r="N28" s="149">
        <f t="shared" si="13"/>
        <v>0.93928186702290029</v>
      </c>
      <c r="O28" s="149">
        <f t="shared" si="13"/>
        <v>0.78564249687468224</v>
      </c>
      <c r="P28" s="149">
        <f t="shared" si="13"/>
        <v>0.86246218194879132</v>
      </c>
      <c r="Q28" s="150">
        <f t="shared" si="13"/>
        <v>54007357.601666659</v>
      </c>
      <c r="R28" s="150">
        <f t="shared" si="13"/>
        <v>42881523.388608858</v>
      </c>
      <c r="S28" s="151">
        <f t="shared" si="13"/>
        <v>59688.777777777781</v>
      </c>
      <c r="T28" s="116">
        <f t="shared" si="13"/>
        <v>813.86376922367242</v>
      </c>
      <c r="U28" s="150">
        <f t="shared" si="13"/>
        <v>74463249.833333328</v>
      </c>
      <c r="V28" s="151">
        <f t="shared" si="13"/>
        <v>9865.5</v>
      </c>
      <c r="W28" s="116">
        <f t="shared" si="13"/>
        <v>10976.65094631855</v>
      </c>
    </row>
    <row r="29" spans="1:23" ht="15.75" customHeight="1" x14ac:dyDescent="0.25">
      <c r="H29" s="18"/>
    </row>
    <row r="30" spans="1:23" ht="15.75" customHeight="1" x14ac:dyDescent="0.25">
      <c r="H30" s="18"/>
    </row>
    <row r="31" spans="1:23" ht="15.75" customHeight="1" x14ac:dyDescent="0.25">
      <c r="H31" s="18"/>
    </row>
    <row r="32" spans="1:23" ht="15.75" customHeight="1" x14ac:dyDescent="0.25">
      <c r="H32" s="18"/>
    </row>
    <row r="33" spans="8:8" ht="15.75" customHeight="1" x14ac:dyDescent="0.25">
      <c r="H33" s="18"/>
    </row>
    <row r="34" spans="8:8" ht="15.75" customHeight="1" x14ac:dyDescent="0.25">
      <c r="H34" s="18"/>
    </row>
    <row r="35" spans="8:8" ht="15.75" customHeight="1" x14ac:dyDescent="0.25">
      <c r="H35" s="18"/>
    </row>
    <row r="36" spans="8:8" ht="15.75" customHeight="1" x14ac:dyDescent="0.25">
      <c r="H36" s="18"/>
    </row>
    <row r="37" spans="8:8" ht="15.75" customHeight="1" x14ac:dyDescent="0.25">
      <c r="H37" s="18"/>
    </row>
    <row r="38" spans="8:8" ht="15.75" customHeight="1" x14ac:dyDescent="0.25">
      <c r="H38" s="18"/>
    </row>
    <row r="39" spans="8:8" ht="15.75" customHeight="1" x14ac:dyDescent="0.25">
      <c r="H39" s="18"/>
    </row>
    <row r="40" spans="8:8" ht="15.75" customHeight="1" x14ac:dyDescent="0.25">
      <c r="H40" s="18"/>
    </row>
    <row r="41" spans="8:8" ht="15.75" customHeight="1" x14ac:dyDescent="0.25">
      <c r="H41" s="18"/>
    </row>
    <row r="42" spans="8:8" ht="15.75" customHeight="1" x14ac:dyDescent="0.25">
      <c r="H42" s="18"/>
    </row>
    <row r="43" spans="8:8" ht="15.75" customHeight="1" x14ac:dyDescent="0.25">
      <c r="H43" s="18"/>
    </row>
    <row r="44" spans="8:8" ht="15.75" customHeight="1" x14ac:dyDescent="0.25">
      <c r="H44" s="18"/>
    </row>
    <row r="45" spans="8:8" ht="15.75" customHeight="1" x14ac:dyDescent="0.25">
      <c r="H45" s="18"/>
    </row>
    <row r="46" spans="8:8" ht="15.75" customHeight="1" x14ac:dyDescent="0.25">
      <c r="H46" s="18"/>
    </row>
    <row r="47" spans="8:8" ht="15.75" customHeight="1" x14ac:dyDescent="0.25">
      <c r="H47" s="18"/>
    </row>
    <row r="48" spans="8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A8:B8"/>
    <mergeCell ref="C8:F8"/>
    <mergeCell ref="M8:W8"/>
    <mergeCell ref="G8:L8"/>
  </mergeCells>
  <pageMargins left="0.7" right="0.7" top="0.75" bottom="0.75" header="0" footer="0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1000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G8" sqref="G8:L8"/>
    </sheetView>
  </sheetViews>
  <sheetFormatPr defaultColWidth="14.42578125" defaultRowHeight="15" customHeight="1" x14ac:dyDescent="0.25"/>
  <cols>
    <col min="1" max="2" width="20.85546875" customWidth="1"/>
    <col min="3" max="19" width="15.85546875" customWidth="1"/>
    <col min="20" max="28" width="11.42578125" customWidth="1"/>
  </cols>
  <sheetData>
    <row r="1" spans="1:28" x14ac:dyDescent="0.25">
      <c r="A1" t="s">
        <v>188</v>
      </c>
    </row>
    <row r="3" spans="1:28" x14ac:dyDescent="0.25">
      <c r="A3" s="219" t="s">
        <v>189</v>
      </c>
      <c r="B3" s="209"/>
      <c r="K3" s="1" t="s">
        <v>87</v>
      </c>
    </row>
    <row r="4" spans="1:28" x14ac:dyDescent="0.25">
      <c r="A4" s="2" t="s">
        <v>0</v>
      </c>
      <c r="B4" s="3" t="s">
        <v>1</v>
      </c>
    </row>
    <row r="5" spans="1:28" x14ac:dyDescent="0.25">
      <c r="A5" s="4" t="s">
        <v>2</v>
      </c>
      <c r="B5" s="5">
        <v>2.1150000000000002</v>
      </c>
    </row>
    <row r="6" spans="1:28" x14ac:dyDescent="0.25">
      <c r="A6" s="6" t="s">
        <v>3</v>
      </c>
      <c r="B6" s="7">
        <v>0.27400000000000002</v>
      </c>
    </row>
    <row r="7" spans="1:28" ht="15.75" thickBot="1" x14ac:dyDescent="0.3">
      <c r="A7" s="8"/>
      <c r="B7" s="8"/>
    </row>
    <row r="8" spans="1:28" ht="31.5" customHeight="1" x14ac:dyDescent="0.25">
      <c r="A8" s="220" t="s">
        <v>4</v>
      </c>
      <c r="B8" s="209"/>
      <c r="C8" s="220" t="s">
        <v>86</v>
      </c>
      <c r="D8" s="221"/>
      <c r="E8" s="221"/>
      <c r="F8" s="209"/>
      <c r="G8" s="220" t="s">
        <v>6</v>
      </c>
      <c r="H8" s="223"/>
      <c r="I8" s="223"/>
      <c r="J8" s="223"/>
      <c r="K8" s="223"/>
      <c r="L8" s="224"/>
      <c r="M8" s="220" t="s">
        <v>7</v>
      </c>
      <c r="N8" s="221"/>
      <c r="O8" s="221"/>
      <c r="P8" s="221"/>
      <c r="Q8" s="221"/>
      <c r="R8" s="221"/>
      <c r="S8" s="221"/>
      <c r="T8" s="221"/>
      <c r="U8" s="221"/>
      <c r="V8" s="221"/>
      <c r="W8" s="209"/>
    </row>
    <row r="9" spans="1:28" ht="64.5" customHeight="1" thickBot="1" x14ac:dyDescent="0.3">
      <c r="A9" s="93" t="s">
        <v>8</v>
      </c>
      <c r="B9" s="10" t="s">
        <v>9</v>
      </c>
      <c r="C9" s="11" t="s">
        <v>10</v>
      </c>
      <c r="D9" s="12" t="s">
        <v>11</v>
      </c>
      <c r="E9" s="12" t="s">
        <v>12</v>
      </c>
      <c r="F9" s="16" t="s">
        <v>13</v>
      </c>
      <c r="G9" s="13" t="s">
        <v>202</v>
      </c>
      <c r="H9" s="13" t="s">
        <v>191</v>
      </c>
      <c r="I9" s="94" t="s">
        <v>192</v>
      </c>
      <c r="J9" s="14" t="s">
        <v>201</v>
      </c>
      <c r="K9" s="14" t="s">
        <v>193</v>
      </c>
      <c r="L9" s="15" t="s">
        <v>194</v>
      </c>
      <c r="M9" s="11" t="s">
        <v>14</v>
      </c>
      <c r="N9" s="12" t="s">
        <v>15</v>
      </c>
      <c r="O9" s="12" t="s">
        <v>16</v>
      </c>
      <c r="P9" s="12" t="s">
        <v>17</v>
      </c>
      <c r="Q9" s="12" t="s">
        <v>18</v>
      </c>
      <c r="R9" s="12" t="s">
        <v>19</v>
      </c>
      <c r="S9" s="12" t="s">
        <v>20</v>
      </c>
      <c r="T9" s="12" t="s">
        <v>21</v>
      </c>
      <c r="U9" s="12" t="s">
        <v>22</v>
      </c>
      <c r="V9" s="12" t="s">
        <v>23</v>
      </c>
      <c r="W9" s="16" t="s">
        <v>24</v>
      </c>
      <c r="X9" s="17"/>
      <c r="Y9" s="17"/>
      <c r="Z9" s="17"/>
      <c r="AA9" s="17"/>
      <c r="AB9" s="17"/>
    </row>
    <row r="10" spans="1:28" ht="15.75" x14ac:dyDescent="0.25">
      <c r="A10" s="95" t="s">
        <v>25</v>
      </c>
      <c r="B10" s="96" t="s">
        <v>26</v>
      </c>
      <c r="C10" s="97">
        <f t="shared" ref="C10:C27" si="0">$B$5*T10</f>
        <v>2017.3145764123342</v>
      </c>
      <c r="D10" s="18">
        <f t="shared" ref="D10:D27" si="1">W10*$B$6</f>
        <v>637.12518369216673</v>
      </c>
      <c r="E10" s="18">
        <f t="shared" ref="E10:E27" si="2">C10+D10</f>
        <v>2654.4397601045011</v>
      </c>
      <c r="F10" s="99">
        <f t="shared" ref="F10:F27" si="3">E10/(M10/100)</f>
        <v>60737.798091505159</v>
      </c>
      <c r="G10" s="18">
        <f>0.8*H10</f>
        <v>48188</v>
      </c>
      <c r="H10" s="98">
        <v>60235</v>
      </c>
      <c r="I10" s="123">
        <f t="shared" ref="I10:I27" si="4">H10-F10</f>
        <v>-502.79809150515939</v>
      </c>
      <c r="J10" s="123">
        <f>0.8*K10</f>
        <v>78690.214688348802</v>
      </c>
      <c r="K10" s="18">
        <v>98362.768360435992</v>
      </c>
      <c r="L10" s="123">
        <f t="shared" ref="L10:L27" si="5">K10-F10</f>
        <v>37624.970268930832</v>
      </c>
      <c r="M10" s="100">
        <f>'Tax Levies and EQ Tax Rates'!O5</f>
        <v>4.3703259642462298</v>
      </c>
      <c r="N10" s="101">
        <f>'# and Assessed Value of Parcels'!G5/'# and Assessed Value of Parcels'!O5</f>
        <v>0.92172812725958064</v>
      </c>
      <c r="O10" s="101">
        <f>'# and Assessed Value of Parcels'!H5/'# and Assessed Value of Parcels'!P5</f>
        <v>0.73101366343961027</v>
      </c>
      <c r="P10" s="101">
        <f t="shared" ref="P10:P27" si="6">(N10+O10)/2</f>
        <v>0.8263708953495954</v>
      </c>
      <c r="Q10" s="102">
        <f>'Tax Levies and EQ Tax Rates'!I5</f>
        <v>23810385</v>
      </c>
      <c r="R10" s="102">
        <f t="shared" ref="R10:R27" si="7">P10*Q10</f>
        <v>19676209.171068575</v>
      </c>
      <c r="S10" s="103">
        <v>20629</v>
      </c>
      <c r="T10" s="102">
        <f t="shared" ref="T10:T27" si="8">R10/S10</f>
        <v>953.81303849282926</v>
      </c>
      <c r="U10" s="102">
        <f>'Tax Levies and EQ Tax Rates'!C5</f>
        <v>10152148</v>
      </c>
      <c r="V10" s="103">
        <v>4366</v>
      </c>
      <c r="W10" s="104">
        <f t="shared" ref="W10:W27" si="9">U10/V10</f>
        <v>2325.2743930371048</v>
      </c>
    </row>
    <row r="11" spans="1:28" ht="15.75" x14ac:dyDescent="0.25">
      <c r="A11" s="95" t="s">
        <v>27</v>
      </c>
      <c r="B11" s="96" t="s">
        <v>28</v>
      </c>
      <c r="C11" s="97">
        <f t="shared" si="0"/>
        <v>2076.0939299916822</v>
      </c>
      <c r="D11" s="18">
        <f t="shared" si="1"/>
        <v>4231.8054872918492</v>
      </c>
      <c r="E11" s="18">
        <f t="shared" si="2"/>
        <v>6307.8994172835319</v>
      </c>
      <c r="F11" s="99">
        <f t="shared" si="3"/>
        <v>248386.56977092454</v>
      </c>
      <c r="G11" s="18">
        <f t="shared" ref="G11:G27" si="10">0.8*H11</f>
        <v>298979.20000000001</v>
      </c>
      <c r="H11" s="98">
        <v>373724</v>
      </c>
      <c r="I11" s="123">
        <f t="shared" si="4"/>
        <v>125337.43022907546</v>
      </c>
      <c r="J11" s="123">
        <f t="shared" ref="J11:J26" si="11">0.8*K11</f>
        <v>341510.47200000007</v>
      </c>
      <c r="K11" s="18">
        <v>426888.09</v>
      </c>
      <c r="L11" s="123">
        <f t="shared" si="5"/>
        <v>178501.52022907548</v>
      </c>
      <c r="M11" s="100">
        <f>'Tax Levies and EQ Tax Rates'!O7</f>
        <v>2.5395493094095287</v>
      </c>
      <c r="N11" s="101">
        <f>'# and Assessed Value of Parcels'!G7/'# and Assessed Value of Parcels'!O7</f>
        <v>0.98144233027953953</v>
      </c>
      <c r="O11" s="101">
        <f>'# and Assessed Value of Parcels'!H7/'# and Assessed Value of Parcels'!P7</f>
        <v>0.94433258765869066</v>
      </c>
      <c r="P11" s="101">
        <f t="shared" si="6"/>
        <v>0.9628874589691151</v>
      </c>
      <c r="Q11" s="102">
        <f>'Tax Levies and EQ Tax Rates'!I7</f>
        <v>17251960.34</v>
      </c>
      <c r="R11" s="102">
        <f t="shared" si="7"/>
        <v>16611696.254018551</v>
      </c>
      <c r="S11" s="103">
        <v>16923</v>
      </c>
      <c r="T11" s="102">
        <f t="shared" si="8"/>
        <v>981.60469503152819</v>
      </c>
      <c r="U11" s="102">
        <f>'Tax Levies and EQ Tax Rates'!C7</f>
        <v>35244453</v>
      </c>
      <c r="V11" s="103">
        <v>2282</v>
      </c>
      <c r="W11" s="104">
        <f t="shared" si="9"/>
        <v>15444.545574057844</v>
      </c>
    </row>
    <row r="12" spans="1:28" ht="15.75" x14ac:dyDescent="0.25">
      <c r="A12" s="95" t="s">
        <v>29</v>
      </c>
      <c r="B12" s="96" t="s">
        <v>30</v>
      </c>
      <c r="C12" s="97">
        <f t="shared" si="0"/>
        <v>1185.9544215483907</v>
      </c>
      <c r="D12" s="18">
        <f t="shared" si="1"/>
        <v>618.85042198386975</v>
      </c>
      <c r="E12" s="18">
        <f t="shared" si="2"/>
        <v>1804.8048435322603</v>
      </c>
      <c r="F12" s="99">
        <f t="shared" si="3"/>
        <v>68213.1269749372</v>
      </c>
      <c r="G12" s="18">
        <f t="shared" si="10"/>
        <v>131623.73333333334</v>
      </c>
      <c r="H12" s="98">
        <v>164529.66666666666</v>
      </c>
      <c r="I12" s="123">
        <f t="shared" si="4"/>
        <v>96316.539691729457</v>
      </c>
      <c r="J12" s="123">
        <f t="shared" si="11"/>
        <v>165468.016</v>
      </c>
      <c r="K12" s="18">
        <v>206835.02</v>
      </c>
      <c r="L12" s="123">
        <f t="shared" si="5"/>
        <v>138621.8930250628</v>
      </c>
      <c r="M12" s="100">
        <f>'Tax Levies and EQ Tax Rates'!O18</f>
        <v>2.6458321492802699</v>
      </c>
      <c r="N12" s="101">
        <f>'# and Assessed Value of Parcels'!G18/'# and Assessed Value of Parcels'!O18</f>
        <v>0.84162883700821445</v>
      </c>
      <c r="O12" s="101">
        <f>'# and Assessed Value of Parcels'!H18/'# and Assessed Value of Parcels'!P18</f>
        <v>0.54365223337971258</v>
      </c>
      <c r="P12" s="101">
        <f t="shared" si="6"/>
        <v>0.69264053519396351</v>
      </c>
      <c r="Q12" s="102">
        <f>'Tax Levies and EQ Tax Rates'!I18</f>
        <v>252218004</v>
      </c>
      <c r="R12" s="102">
        <f t="shared" si="7"/>
        <v>174696413.27611324</v>
      </c>
      <c r="S12" s="103">
        <v>311549</v>
      </c>
      <c r="T12" s="102">
        <f t="shared" si="8"/>
        <v>560.73495108670943</v>
      </c>
      <c r="U12" s="102">
        <f>'Tax Levies and EQ Tax Rates'!C18</f>
        <v>135819599</v>
      </c>
      <c r="V12" s="103">
        <v>60135</v>
      </c>
      <c r="W12" s="104">
        <f t="shared" si="9"/>
        <v>2258.578182422882</v>
      </c>
    </row>
    <row r="13" spans="1:28" ht="15.75" x14ac:dyDescent="0.25">
      <c r="A13" s="95" t="s">
        <v>31</v>
      </c>
      <c r="B13" s="96" t="s">
        <v>32</v>
      </c>
      <c r="C13" s="97">
        <f t="shared" si="0"/>
        <v>1665.6928450972614</v>
      </c>
      <c r="D13" s="18">
        <f t="shared" si="1"/>
        <v>4480.6392308605346</v>
      </c>
      <c r="E13" s="18">
        <f t="shared" si="2"/>
        <v>6146.3320759577964</v>
      </c>
      <c r="F13" s="99">
        <f t="shared" si="3"/>
        <v>258437.93985671911</v>
      </c>
      <c r="G13" s="18">
        <f t="shared" si="10"/>
        <v>182548.66666666669</v>
      </c>
      <c r="H13" s="98">
        <v>228185.83333333334</v>
      </c>
      <c r="I13" s="123">
        <f t="shared" si="4"/>
        <v>-30252.106523385766</v>
      </c>
      <c r="J13" s="123">
        <f t="shared" si="11"/>
        <v>304249.98900445754</v>
      </c>
      <c r="K13" s="18">
        <v>380312.48625557189</v>
      </c>
      <c r="L13" s="123">
        <f t="shared" si="5"/>
        <v>121874.54639885278</v>
      </c>
      <c r="M13" s="100">
        <f>'Tax Levies and EQ Tax Rates'!O20</f>
        <v>2.3782622935956663</v>
      </c>
      <c r="N13" s="101">
        <f>'# and Assessed Value of Parcels'!G20/'# and Assessed Value of Parcels'!O20</f>
        <v>0.95667524385135538</v>
      </c>
      <c r="O13" s="101">
        <f>'# and Assessed Value of Parcels'!H20/'# and Assessed Value of Parcels'!P20</f>
        <v>0.81220548036186702</v>
      </c>
      <c r="P13" s="101">
        <f t="shared" si="6"/>
        <v>0.88444036210661126</v>
      </c>
      <c r="Q13" s="102">
        <f>'Tax Levies and EQ Tax Rates'!I20</f>
        <v>44269379.890000001</v>
      </c>
      <c r="R13" s="102">
        <f t="shared" si="7"/>
        <v>39153626.380146734</v>
      </c>
      <c r="S13" s="103">
        <v>49715</v>
      </c>
      <c r="T13" s="102">
        <f t="shared" si="8"/>
        <v>787.561628887594</v>
      </c>
      <c r="U13" s="102">
        <f>'Tax Levies and EQ Tax Rates'!C20</f>
        <v>137771480</v>
      </c>
      <c r="V13" s="103">
        <v>8425</v>
      </c>
      <c r="W13" s="104">
        <f t="shared" si="9"/>
        <v>16352.697922848665</v>
      </c>
    </row>
    <row r="14" spans="1:28" ht="15.75" x14ac:dyDescent="0.25">
      <c r="A14" s="95" t="s">
        <v>31</v>
      </c>
      <c r="B14" s="96" t="s">
        <v>33</v>
      </c>
      <c r="C14" s="97">
        <f t="shared" si="0"/>
        <v>1111.6057831711994</v>
      </c>
      <c r="D14" s="18">
        <f t="shared" si="1"/>
        <v>3618.580253035936</v>
      </c>
      <c r="E14" s="18">
        <f t="shared" si="2"/>
        <v>4730.1860362071357</v>
      </c>
      <c r="F14" s="99">
        <f t="shared" si="3"/>
        <v>280664.50242747995</v>
      </c>
      <c r="G14" s="18">
        <f t="shared" si="10"/>
        <v>104904.57142857143</v>
      </c>
      <c r="H14" s="98">
        <v>131130.71428571429</v>
      </c>
      <c r="I14" s="123">
        <f t="shared" si="4"/>
        <v>-149533.78814176566</v>
      </c>
      <c r="J14" s="123">
        <f t="shared" si="11"/>
        <v>300420.04272798798</v>
      </c>
      <c r="K14" s="18">
        <v>375525.05340998498</v>
      </c>
      <c r="L14" s="123">
        <f t="shared" si="5"/>
        <v>94860.550982505025</v>
      </c>
      <c r="M14" s="100">
        <f>'Tax Levies and EQ Tax Rates'!O21</f>
        <v>1.6853524386930101</v>
      </c>
      <c r="N14" s="101">
        <f>'# and Assessed Value of Parcels'!G21/'# and Assessed Value of Parcels'!O21</f>
        <v>0.97122792306482886</v>
      </c>
      <c r="O14" s="101">
        <f>'# and Assessed Value of Parcels'!H21/'# and Assessed Value of Parcels'!P21</f>
        <v>0.88589383044965919</v>
      </c>
      <c r="P14" s="101">
        <f t="shared" si="6"/>
        <v>0.92856087675724397</v>
      </c>
      <c r="Q14" s="102">
        <f>'Tax Levies and EQ Tax Rates'!I21</f>
        <v>37853002.5</v>
      </c>
      <c r="R14" s="102">
        <f t="shared" si="7"/>
        <v>35148817.189294145</v>
      </c>
      <c r="S14" s="103">
        <v>66876</v>
      </c>
      <c r="T14" s="102">
        <f t="shared" si="8"/>
        <v>525.58193057739913</v>
      </c>
      <c r="U14" s="102">
        <f>'Tax Levies and EQ Tax Rates'!C21</f>
        <v>106576433</v>
      </c>
      <c r="V14" s="103">
        <v>8070</v>
      </c>
      <c r="W14" s="104">
        <f t="shared" si="9"/>
        <v>13206.49727385378</v>
      </c>
    </row>
    <row r="15" spans="1:28" ht="15.75" x14ac:dyDescent="0.25">
      <c r="A15" s="95" t="s">
        <v>31</v>
      </c>
      <c r="B15" s="96" t="s">
        <v>34</v>
      </c>
      <c r="C15" s="97">
        <f t="shared" si="0"/>
        <v>1756.7626829813833</v>
      </c>
      <c r="D15" s="18">
        <f t="shared" si="1"/>
        <v>3552.7706748406085</v>
      </c>
      <c r="E15" s="18">
        <f t="shared" si="2"/>
        <v>5309.5333578219916</v>
      </c>
      <c r="F15" s="99">
        <f t="shared" si="3"/>
        <v>225232.89131443045</v>
      </c>
      <c r="G15" s="18">
        <f t="shared" si="10"/>
        <v>244863.85</v>
      </c>
      <c r="H15" s="98">
        <v>306079.8125</v>
      </c>
      <c r="I15" s="123">
        <f t="shared" si="4"/>
        <v>80846.921185569547</v>
      </c>
      <c r="J15" s="123">
        <f t="shared" si="11"/>
        <v>259906.2716841558</v>
      </c>
      <c r="K15" s="18">
        <v>324882.83960519475</v>
      </c>
      <c r="L15" s="123">
        <f t="shared" si="5"/>
        <v>99649.948290764296</v>
      </c>
      <c r="M15" s="100">
        <f>'Tax Levies and EQ Tax Rates'!O22</f>
        <v>2.357352572635476</v>
      </c>
      <c r="N15" s="101">
        <f>'# and Assessed Value of Parcels'!G22/'# and Assessed Value of Parcels'!O22</f>
        <v>0.92460317460317465</v>
      </c>
      <c r="O15" s="101">
        <f>'# and Assessed Value of Parcels'!H22/'# and Assessed Value of Parcels'!P22</f>
        <v>0.82398227250676292</v>
      </c>
      <c r="P15" s="101">
        <f t="shared" si="6"/>
        <v>0.87429272355496879</v>
      </c>
      <c r="Q15" s="102">
        <f>'Tax Levies and EQ Tax Rates'!I22</f>
        <v>13904912.58</v>
      </c>
      <c r="R15" s="102">
        <f t="shared" si="7"/>
        <v>12156963.890361948</v>
      </c>
      <c r="S15" s="103">
        <v>14636</v>
      </c>
      <c r="T15" s="102">
        <f t="shared" si="8"/>
        <v>830.62065389190684</v>
      </c>
      <c r="U15" s="102">
        <f>'Tax Levies and EQ Tax Rates'!C22</f>
        <v>26438319</v>
      </c>
      <c r="V15" s="103">
        <v>2039</v>
      </c>
      <c r="W15" s="104">
        <f t="shared" si="9"/>
        <v>12966.316331535067</v>
      </c>
    </row>
    <row r="16" spans="1:28" ht="15.75" x14ac:dyDescent="0.25">
      <c r="A16" s="95" t="s">
        <v>31</v>
      </c>
      <c r="B16" s="96" t="s">
        <v>35</v>
      </c>
      <c r="C16" s="97">
        <f t="shared" si="0"/>
        <v>1503.1294277214668</v>
      </c>
      <c r="D16" s="18">
        <f t="shared" si="1"/>
        <v>2814.426161124547</v>
      </c>
      <c r="E16" s="18">
        <f t="shared" si="2"/>
        <v>4317.555588846014</v>
      </c>
      <c r="F16" s="99">
        <f t="shared" si="3"/>
        <v>219237.16916184805</v>
      </c>
      <c r="G16" s="18">
        <f t="shared" si="10"/>
        <v>166940.06400000001</v>
      </c>
      <c r="H16" s="98">
        <v>208675.08</v>
      </c>
      <c r="I16" s="123">
        <f t="shared" si="4"/>
        <v>-10562.089161848067</v>
      </c>
      <c r="J16" s="123">
        <f t="shared" si="11"/>
        <v>264763.80867113854</v>
      </c>
      <c r="K16" s="18">
        <v>330954.76083892316</v>
      </c>
      <c r="L16" s="123">
        <f t="shared" si="5"/>
        <v>111717.59167707511</v>
      </c>
      <c r="M16" s="100">
        <f>'Tax Levies and EQ Tax Rates'!O23</f>
        <v>1.9693538305353018</v>
      </c>
      <c r="N16" s="101">
        <f>'# and Assessed Value of Parcels'!G23/'# and Assessed Value of Parcels'!O23</f>
        <v>0.96279666452854396</v>
      </c>
      <c r="O16" s="101">
        <f>'# and Assessed Value of Parcels'!H23/'# and Assessed Value of Parcels'!P23</f>
        <v>0.85286917759426784</v>
      </c>
      <c r="P16" s="101">
        <f t="shared" si="6"/>
        <v>0.9078329210614059</v>
      </c>
      <c r="Q16" s="102">
        <f>'Tax Levies and EQ Tax Rates'!I23</f>
        <v>35498457.659999996</v>
      </c>
      <c r="R16" s="102">
        <f t="shared" si="7"/>
        <v>32226668.510652438</v>
      </c>
      <c r="S16" s="103">
        <v>45345</v>
      </c>
      <c r="T16" s="102">
        <f t="shared" si="8"/>
        <v>710.69949301251381</v>
      </c>
      <c r="U16" s="102">
        <f>'Tax Levies and EQ Tax Rates'!C23</f>
        <v>67957093</v>
      </c>
      <c r="V16" s="103">
        <v>6616</v>
      </c>
      <c r="W16" s="104">
        <f t="shared" si="9"/>
        <v>10271.628325272068</v>
      </c>
    </row>
    <row r="17" spans="1:23" ht="15.75" x14ac:dyDescent="0.25">
      <c r="A17" s="95" t="s">
        <v>31</v>
      </c>
      <c r="B17" s="96" t="s">
        <v>36</v>
      </c>
      <c r="C17" s="97">
        <f t="shared" si="0"/>
        <v>1291.0269065040518</v>
      </c>
      <c r="D17" s="18">
        <f t="shared" si="1"/>
        <v>2044.473870888158</v>
      </c>
      <c r="E17" s="18">
        <f t="shared" si="2"/>
        <v>3335.5007773922098</v>
      </c>
      <c r="F17" s="99">
        <f t="shared" si="3"/>
        <v>175844.67020567594</v>
      </c>
      <c r="G17" s="18">
        <f t="shared" si="10"/>
        <v>130775.73333333334</v>
      </c>
      <c r="H17" s="98">
        <v>163469.66666666666</v>
      </c>
      <c r="I17" s="123">
        <f t="shared" si="4"/>
        <v>-12375.003539009282</v>
      </c>
      <c r="J17" s="123">
        <f t="shared" si="11"/>
        <v>234775.9276524334</v>
      </c>
      <c r="K17" s="18">
        <v>293469.90956554172</v>
      </c>
      <c r="L17" s="123">
        <f t="shared" si="5"/>
        <v>117625.23935986578</v>
      </c>
      <c r="M17" s="100">
        <f>'Tax Levies and EQ Tax Rates'!O24</f>
        <v>1.8968449674879859</v>
      </c>
      <c r="N17" s="101">
        <f>'# and Assessed Value of Parcels'!G24/'# and Assessed Value of Parcels'!O24</f>
        <v>0.95376862401402274</v>
      </c>
      <c r="O17" s="101">
        <f>'# and Assessed Value of Parcels'!H24/'# and Assessed Value of Parcels'!P24</f>
        <v>0.87694473065069911</v>
      </c>
      <c r="P17" s="101">
        <f t="shared" si="6"/>
        <v>0.91535667733236092</v>
      </c>
      <c r="Q17" s="102">
        <f>'Tax Levies and EQ Tax Rates'!I24</f>
        <v>10748447</v>
      </c>
      <c r="R17" s="102">
        <f t="shared" si="7"/>
        <v>9838662.7324029822</v>
      </c>
      <c r="S17" s="103">
        <v>16118</v>
      </c>
      <c r="T17" s="102">
        <f t="shared" si="8"/>
        <v>610.41461300427977</v>
      </c>
      <c r="U17" s="102">
        <f>'Tax Levies and EQ Tax Rates'!C24</f>
        <v>18146571</v>
      </c>
      <c r="V17" s="103">
        <v>2432</v>
      </c>
      <c r="W17" s="104">
        <f t="shared" si="9"/>
        <v>7461.5834703947367</v>
      </c>
    </row>
    <row r="18" spans="1:23" ht="15.75" x14ac:dyDescent="0.25">
      <c r="A18" s="95" t="s">
        <v>31</v>
      </c>
      <c r="B18" s="96" t="s">
        <v>37</v>
      </c>
      <c r="C18" s="97">
        <f t="shared" si="0"/>
        <v>1776.3674722177955</v>
      </c>
      <c r="D18" s="18">
        <f t="shared" si="1"/>
        <v>3635.3999105974099</v>
      </c>
      <c r="E18" s="18">
        <f t="shared" si="2"/>
        <v>5411.7673828152056</v>
      </c>
      <c r="F18" s="99">
        <f t="shared" si="3"/>
        <v>231325.91287886852</v>
      </c>
      <c r="G18" s="18">
        <f t="shared" si="10"/>
        <v>186271.73641618498</v>
      </c>
      <c r="H18" s="98">
        <v>232839.67052023122</v>
      </c>
      <c r="I18" s="123">
        <f t="shared" si="4"/>
        <v>1513.7576413626957</v>
      </c>
      <c r="J18" s="123">
        <f t="shared" si="11"/>
        <v>246095.60470224597</v>
      </c>
      <c r="K18" s="18">
        <v>307619.50587780745</v>
      </c>
      <c r="L18" s="123">
        <f t="shared" si="5"/>
        <v>76293.592998938926</v>
      </c>
      <c r="M18" s="100">
        <f>'Tax Levies and EQ Tax Rates'!O25</f>
        <v>2.3394557555032858</v>
      </c>
      <c r="N18" s="101">
        <f>'# and Assessed Value of Parcels'!G25/'# and Assessed Value of Parcels'!O25</f>
        <v>0.95527753810756399</v>
      </c>
      <c r="O18" s="101">
        <f>'# and Assessed Value of Parcels'!H25/'# and Assessed Value of Parcels'!P25</f>
        <v>0.7164271010805654</v>
      </c>
      <c r="P18" s="101">
        <f t="shared" si="6"/>
        <v>0.8358523195940647</v>
      </c>
      <c r="Q18" s="102">
        <f>'Tax Levies and EQ Tax Rates'!I25</f>
        <v>104139647.23</v>
      </c>
      <c r="R18" s="102">
        <f t="shared" si="7"/>
        <v>87045365.698903114</v>
      </c>
      <c r="S18" s="103">
        <v>103639</v>
      </c>
      <c r="T18" s="102">
        <f t="shared" si="8"/>
        <v>839.89005778619162</v>
      </c>
      <c r="U18" s="102">
        <f>'Tax Levies and EQ Tax Rates'!C25</f>
        <v>190553334</v>
      </c>
      <c r="V18" s="103">
        <v>14362</v>
      </c>
      <c r="W18" s="104">
        <f t="shared" si="9"/>
        <v>13267.882885392006</v>
      </c>
    </row>
    <row r="19" spans="1:23" ht="15.75" x14ac:dyDescent="0.25">
      <c r="A19" s="95" t="s">
        <v>38</v>
      </c>
      <c r="B19" s="96" t="s">
        <v>39</v>
      </c>
      <c r="C19" s="97">
        <f t="shared" si="0"/>
        <v>2412.8079987624933</v>
      </c>
      <c r="D19" s="18">
        <f t="shared" si="1"/>
        <v>815.07010898876422</v>
      </c>
      <c r="E19" s="18">
        <f t="shared" si="2"/>
        <v>3227.8781077512576</v>
      </c>
      <c r="F19" s="99">
        <f t="shared" si="3"/>
        <v>119672.86121373343</v>
      </c>
      <c r="G19" s="18">
        <f t="shared" si="10"/>
        <v>107775</v>
      </c>
      <c r="H19" s="98">
        <v>134718.75</v>
      </c>
      <c r="I19" s="123">
        <f t="shared" si="4"/>
        <v>15045.888786266572</v>
      </c>
      <c r="J19" s="123">
        <f t="shared" si="11"/>
        <v>147112.88227639234</v>
      </c>
      <c r="K19" s="18">
        <v>183891.10284549042</v>
      </c>
      <c r="L19" s="123">
        <f t="shared" si="5"/>
        <v>64218.241631756988</v>
      </c>
      <c r="M19" s="100">
        <f>'Tax Levies and EQ Tax Rates'!O26</f>
        <v>2.6972515531205774</v>
      </c>
      <c r="N19" s="101">
        <f>'# and Assessed Value of Parcels'!G26/'# and Assessed Value of Parcels'!O26</f>
        <v>0.96441281138790036</v>
      </c>
      <c r="O19" s="101">
        <f>'# and Assessed Value of Parcels'!H26/'# and Assessed Value of Parcels'!P26</f>
        <v>0.88303144331890093</v>
      </c>
      <c r="P19" s="101">
        <f t="shared" si="6"/>
        <v>0.92372212735340065</v>
      </c>
      <c r="Q19" s="102">
        <f>'Tax Levies and EQ Tax Rates'!I26</f>
        <v>12047538.390000001</v>
      </c>
      <c r="R19" s="102">
        <f t="shared" si="7"/>
        <v>11128577.790982563</v>
      </c>
      <c r="S19" s="103">
        <v>9755</v>
      </c>
      <c r="T19" s="102">
        <f t="shared" si="8"/>
        <v>1140.8075644267108</v>
      </c>
      <c r="U19" s="102">
        <f>'Tax Levies and EQ Tax Rates'!C26</f>
        <v>5294981</v>
      </c>
      <c r="V19" s="103">
        <v>1780</v>
      </c>
      <c r="W19" s="104">
        <f t="shared" si="9"/>
        <v>2974.7084269662923</v>
      </c>
    </row>
    <row r="20" spans="1:23" ht="15.75" x14ac:dyDescent="0.25">
      <c r="A20" s="95" t="s">
        <v>38</v>
      </c>
      <c r="B20" s="96" t="s">
        <v>40</v>
      </c>
      <c r="C20" s="97">
        <f t="shared" si="0"/>
        <v>1222.3771040756449</v>
      </c>
      <c r="D20" s="18">
        <f t="shared" si="1"/>
        <v>3746.9653377076074</v>
      </c>
      <c r="E20" s="18">
        <f t="shared" si="2"/>
        <v>4969.3424417832521</v>
      </c>
      <c r="F20" s="99">
        <f t="shared" si="3"/>
        <v>306998.05461302615</v>
      </c>
      <c r="G20" s="18">
        <f t="shared" si="10"/>
        <v>233650</v>
      </c>
      <c r="H20" s="98">
        <v>292062.5</v>
      </c>
      <c r="I20" s="123">
        <f t="shared" si="4"/>
        <v>-14935.55461302615</v>
      </c>
      <c r="J20" s="123">
        <f t="shared" si="11"/>
        <v>384389.89904081193</v>
      </c>
      <c r="K20" s="18">
        <v>480487.37380101485</v>
      </c>
      <c r="L20" s="123">
        <f t="shared" si="5"/>
        <v>173489.3191879887</v>
      </c>
      <c r="M20" s="100">
        <f>'Tax Levies and EQ Tax Rates'!O27</f>
        <v>1.6186885770488524</v>
      </c>
      <c r="N20" s="101">
        <f>'# and Assessed Value of Parcels'!G27/'# and Assessed Value of Parcels'!O27</f>
        <v>0.97272104180945851</v>
      </c>
      <c r="O20" s="101">
        <f>'# and Assessed Value of Parcels'!H27/'# and Assessed Value of Parcels'!P27</f>
        <v>0.92205750411890763</v>
      </c>
      <c r="P20" s="101">
        <f t="shared" si="6"/>
        <v>0.94738927296418307</v>
      </c>
      <c r="Q20" s="102">
        <f>'Tax Levies and EQ Tax Rates'!I27</f>
        <v>24954149.290000003</v>
      </c>
      <c r="R20" s="102">
        <f t="shared" si="7"/>
        <v>23641293.353292789</v>
      </c>
      <c r="S20" s="103">
        <v>40905</v>
      </c>
      <c r="T20" s="102">
        <f t="shared" si="8"/>
        <v>577.95607757713697</v>
      </c>
      <c r="U20" s="102">
        <f>'Tax Levies and EQ Tax Rates'!C27</f>
        <v>66693248</v>
      </c>
      <c r="V20" s="103">
        <v>4877</v>
      </c>
      <c r="W20" s="104">
        <f t="shared" si="9"/>
        <v>13675.055977035063</v>
      </c>
    </row>
    <row r="21" spans="1:23" ht="15.75" customHeight="1" x14ac:dyDescent="0.25">
      <c r="A21" s="95" t="s">
        <v>41</v>
      </c>
      <c r="B21" s="96" t="s">
        <v>42</v>
      </c>
      <c r="C21" s="97">
        <f t="shared" si="0"/>
        <v>1610.9745215073126</v>
      </c>
      <c r="D21" s="18">
        <f t="shared" si="1"/>
        <v>442.63071735547669</v>
      </c>
      <c r="E21" s="18">
        <f t="shared" si="2"/>
        <v>2053.6052388627895</v>
      </c>
      <c r="F21" s="99">
        <f t="shared" si="3"/>
        <v>79476.473935088725</v>
      </c>
      <c r="G21" s="18">
        <f t="shared" si="10"/>
        <v>102163.296</v>
      </c>
      <c r="H21" s="98">
        <v>127704.12</v>
      </c>
      <c r="I21" s="123">
        <f t="shared" si="4"/>
        <v>48227.646064911271</v>
      </c>
      <c r="J21" s="123">
        <f t="shared" si="11"/>
        <v>207215.66563954449</v>
      </c>
      <c r="K21" s="18">
        <v>259019.58204943058</v>
      </c>
      <c r="L21" s="123">
        <f t="shared" si="5"/>
        <v>179543.10811434186</v>
      </c>
      <c r="M21" s="100">
        <f>'Tax Levies and EQ Tax Rates'!O33</f>
        <v>2.5839158900532531</v>
      </c>
      <c r="N21" s="101">
        <f>'# and Assessed Value of Parcels'!G33/'# and Assessed Value of Parcels'!O33</f>
        <v>0.8215948144603471</v>
      </c>
      <c r="O21" s="101">
        <f>'# and Assessed Value of Parcels'!H33/'# and Assessed Value of Parcels'!P33</f>
        <v>0.65337602486817126</v>
      </c>
      <c r="P21" s="101">
        <f t="shared" si="6"/>
        <v>0.73748541966425918</v>
      </c>
      <c r="Q21" s="102">
        <f>'Tax Levies and EQ Tax Rates'!I33</f>
        <v>164974488.69999999</v>
      </c>
      <c r="R21" s="102">
        <f t="shared" si="7"/>
        <v>121666280.03281608</v>
      </c>
      <c r="S21" s="103">
        <v>159732</v>
      </c>
      <c r="T21" s="102">
        <f t="shared" si="8"/>
        <v>761.69008109092783</v>
      </c>
      <c r="U21" s="102">
        <f>'Tax Levies and EQ Tax Rates'!C33</f>
        <v>50970381</v>
      </c>
      <c r="V21" s="103">
        <v>31552</v>
      </c>
      <c r="W21" s="104">
        <f t="shared" si="9"/>
        <v>1615.4405742900608</v>
      </c>
    </row>
    <row r="22" spans="1:23" ht="15.75" customHeight="1" x14ac:dyDescent="0.25">
      <c r="A22" s="95" t="s">
        <v>41</v>
      </c>
      <c r="B22" s="96" t="s">
        <v>43</v>
      </c>
      <c r="C22" s="97">
        <f t="shared" si="0"/>
        <v>1878.7345287304511</v>
      </c>
      <c r="D22" s="18">
        <f t="shared" si="1"/>
        <v>3630.6428764857887</v>
      </c>
      <c r="E22" s="18">
        <f t="shared" si="2"/>
        <v>5509.3774052162398</v>
      </c>
      <c r="F22" s="99">
        <f t="shared" si="3"/>
        <v>193247.93389527587</v>
      </c>
      <c r="G22" s="18">
        <f t="shared" si="10"/>
        <v>222382.41311475413</v>
      </c>
      <c r="H22" s="98">
        <v>277978.01639344264</v>
      </c>
      <c r="I22" s="123">
        <f t="shared" si="4"/>
        <v>84730.082498166768</v>
      </c>
      <c r="J22" s="123">
        <f t="shared" si="11"/>
        <v>237607.77160036692</v>
      </c>
      <c r="K22" s="18">
        <v>297009.71450045862</v>
      </c>
      <c r="L22" s="123">
        <f t="shared" si="5"/>
        <v>103761.78060518275</v>
      </c>
      <c r="M22" s="100">
        <f>'Tax Levies and EQ Tax Rates'!O34</f>
        <v>2.8509372877444887</v>
      </c>
      <c r="N22" s="101">
        <f>'# and Assessed Value of Parcels'!G34/'# and Assessed Value of Parcels'!O34</f>
        <v>0.95521999479302266</v>
      </c>
      <c r="O22" s="101">
        <f>'# and Assessed Value of Parcels'!H34/'# and Assessed Value of Parcels'!P34</f>
        <v>0.87552226480698236</v>
      </c>
      <c r="P22" s="101">
        <f t="shared" si="6"/>
        <v>0.91537112980000246</v>
      </c>
      <c r="Q22" s="102">
        <f>'Tax Levies and EQ Tax Rates'!I34</f>
        <v>10797816</v>
      </c>
      <c r="R22" s="102">
        <f t="shared" si="7"/>
        <v>9884009.0312925428</v>
      </c>
      <c r="S22" s="103">
        <v>11127</v>
      </c>
      <c r="T22" s="102">
        <f t="shared" si="8"/>
        <v>888.29055731936216</v>
      </c>
      <c r="U22" s="102">
        <f>'Tax Levies and EQ Tax Rates'!C34</f>
        <v>25639759</v>
      </c>
      <c r="V22" s="103">
        <v>1935</v>
      </c>
      <c r="W22" s="104">
        <f t="shared" si="9"/>
        <v>13250.521447028425</v>
      </c>
    </row>
    <row r="23" spans="1:23" ht="15.75" customHeight="1" x14ac:dyDescent="0.25">
      <c r="A23" s="95" t="s">
        <v>41</v>
      </c>
      <c r="B23" s="96" t="s">
        <v>44</v>
      </c>
      <c r="C23" s="97">
        <f t="shared" si="0"/>
        <v>2123.5471511714636</v>
      </c>
      <c r="D23" s="18">
        <f t="shared" si="1"/>
        <v>5452.8924011679574</v>
      </c>
      <c r="E23" s="18">
        <f t="shared" si="2"/>
        <v>7576.4395523394214</v>
      </c>
      <c r="F23" s="99">
        <f t="shared" si="3"/>
        <v>372993.25727644918</v>
      </c>
      <c r="G23" s="18">
        <f t="shared" si="10"/>
        <v>122655.49948717951</v>
      </c>
      <c r="H23" s="98">
        <v>153319.37435897437</v>
      </c>
      <c r="I23" s="123">
        <f t="shared" si="4"/>
        <v>-219673.88291747481</v>
      </c>
      <c r="J23" s="123">
        <f t="shared" si="11"/>
        <v>382276.90929283504</v>
      </c>
      <c r="K23" s="18">
        <v>477846.1366160438</v>
      </c>
      <c r="L23" s="123">
        <f t="shared" si="5"/>
        <v>104852.87933959463</v>
      </c>
      <c r="M23" s="100">
        <f>'Tax Levies and EQ Tax Rates'!O35</f>
        <v>2.0312537571487619</v>
      </c>
      <c r="N23" s="101">
        <f>'# and Assessed Value of Parcels'!G35/'# and Assessed Value of Parcels'!O35</f>
        <v>0.95973428121904314</v>
      </c>
      <c r="O23" s="101">
        <f>'# and Assessed Value of Parcels'!H35/'# and Assessed Value of Parcels'!P35</f>
        <v>0.74630979334649838</v>
      </c>
      <c r="P23" s="101">
        <f t="shared" si="6"/>
        <v>0.85302203728277082</v>
      </c>
      <c r="Q23" s="102">
        <f>'Tax Levies and EQ Tax Rates'!I35</f>
        <v>64546529</v>
      </c>
      <c r="R23" s="102">
        <f t="shared" si="7"/>
        <v>55059611.667111449</v>
      </c>
      <c r="S23" s="103">
        <v>54838</v>
      </c>
      <c r="T23" s="102">
        <f t="shared" si="8"/>
        <v>1004.0412062276423</v>
      </c>
      <c r="U23" s="102">
        <f>'Tax Levies and EQ Tax Rates'!C35</f>
        <v>156760706</v>
      </c>
      <c r="V23" s="103">
        <v>7877</v>
      </c>
      <c r="W23" s="104">
        <f t="shared" si="9"/>
        <v>19901.067157547288</v>
      </c>
    </row>
    <row r="24" spans="1:23" ht="15.75" customHeight="1" x14ac:dyDescent="0.25">
      <c r="A24" s="95" t="s">
        <v>45</v>
      </c>
      <c r="B24" s="96" t="s">
        <v>46</v>
      </c>
      <c r="C24" s="97">
        <f t="shared" si="0"/>
        <v>1161.5830006407402</v>
      </c>
      <c r="D24" s="18">
        <f t="shared" si="1"/>
        <v>4893.3903850608685</v>
      </c>
      <c r="E24" s="18">
        <f t="shared" si="2"/>
        <v>6054.973385701609</v>
      </c>
      <c r="F24" s="99">
        <f t="shared" si="3"/>
        <v>373034.86346974585</v>
      </c>
      <c r="G24" s="18">
        <f t="shared" si="10"/>
        <v>113307.6</v>
      </c>
      <c r="H24" s="98">
        <v>141634.5</v>
      </c>
      <c r="I24" s="123">
        <f t="shared" si="4"/>
        <v>-231400.36346974585</v>
      </c>
      <c r="J24" s="123">
        <f t="shared" si="11"/>
        <v>295587.14646805584</v>
      </c>
      <c r="K24" s="18">
        <v>369483.93308506976</v>
      </c>
      <c r="L24" s="123">
        <f t="shared" si="5"/>
        <v>-3550.9303846760886</v>
      </c>
      <c r="M24" s="100">
        <f>'Tax Levies and EQ Tax Rates'!O38</f>
        <v>1.6231655479549254</v>
      </c>
      <c r="N24" s="101">
        <f>'# and Assessed Value of Parcels'!G38/'# and Assessed Value of Parcels'!O38</f>
        <v>0.966461229754909</v>
      </c>
      <c r="O24" s="101">
        <f>'# and Assessed Value of Parcels'!H38/'# and Assessed Value of Parcels'!P38</f>
        <v>0.74002784885113326</v>
      </c>
      <c r="P24" s="101">
        <f t="shared" si="6"/>
        <v>0.85324453930302113</v>
      </c>
      <c r="Q24" s="102">
        <f>'Tax Levies and EQ Tax Rates'!I38</f>
        <v>44004169</v>
      </c>
      <c r="R24" s="102">
        <f t="shared" si="7"/>
        <v>37546316.905817285</v>
      </c>
      <c r="S24" s="103">
        <v>68364</v>
      </c>
      <c r="T24" s="102">
        <f t="shared" si="8"/>
        <v>549.21182063391973</v>
      </c>
      <c r="U24" s="102">
        <f>'Tax Levies and EQ Tax Rates'!C38</f>
        <v>151105752</v>
      </c>
      <c r="V24" s="103">
        <v>8461</v>
      </c>
      <c r="W24" s="104">
        <f t="shared" si="9"/>
        <v>17859.088996572511</v>
      </c>
    </row>
    <row r="25" spans="1:23" ht="15.75" customHeight="1" x14ac:dyDescent="0.25">
      <c r="A25" s="95" t="s">
        <v>45</v>
      </c>
      <c r="B25" s="96" t="s">
        <v>47</v>
      </c>
      <c r="C25" s="97">
        <f t="shared" si="0"/>
        <v>1672.2136219742915</v>
      </c>
      <c r="D25" s="18">
        <f t="shared" si="1"/>
        <v>2593.560087061669</v>
      </c>
      <c r="E25" s="18">
        <f t="shared" si="2"/>
        <v>4265.7737090359606</v>
      </c>
      <c r="F25" s="99">
        <f t="shared" si="3"/>
        <v>161684.11547888684</v>
      </c>
      <c r="G25" s="18">
        <f t="shared" si="10"/>
        <v>155618.34601226993</v>
      </c>
      <c r="H25" s="98">
        <v>194522.93251533742</v>
      </c>
      <c r="I25" s="123">
        <f t="shared" si="4"/>
        <v>32838.817036450579</v>
      </c>
      <c r="J25" s="123">
        <f t="shared" si="11"/>
        <v>202643.08320677199</v>
      </c>
      <c r="K25" s="18">
        <v>253303.85400846496</v>
      </c>
      <c r="L25" s="123">
        <f t="shared" si="5"/>
        <v>91619.738529578113</v>
      </c>
      <c r="M25" s="100">
        <f>'Tax Levies and EQ Tax Rates'!O39</f>
        <v>2.6383381548653104</v>
      </c>
      <c r="N25" s="101">
        <f>'# and Assessed Value of Parcels'!G39/'# and Assessed Value of Parcels'!O39</f>
        <v>0.95111773472429206</v>
      </c>
      <c r="O25" s="101">
        <f>'# and Assessed Value of Parcels'!H39/'# and Assessed Value of Parcels'!P39</f>
        <v>0.86385134818830744</v>
      </c>
      <c r="P25" s="101">
        <f t="shared" si="6"/>
        <v>0.90748454145629975</v>
      </c>
      <c r="Q25" s="102">
        <f>'Tax Levies and EQ Tax Rates'!I39</f>
        <v>9542787.1500000004</v>
      </c>
      <c r="R25" s="102">
        <f t="shared" si="7"/>
        <v>8659931.8210328203</v>
      </c>
      <c r="S25" s="103">
        <v>10953</v>
      </c>
      <c r="T25" s="102">
        <f t="shared" si="8"/>
        <v>790.64473852212359</v>
      </c>
      <c r="U25" s="102">
        <f>'Tax Levies and EQ Tax Rates'!C39</f>
        <v>15656016</v>
      </c>
      <c r="V25" s="103">
        <v>1654</v>
      </c>
      <c r="W25" s="104">
        <f t="shared" si="9"/>
        <v>9465.5477629987909</v>
      </c>
    </row>
    <row r="26" spans="1:23" ht="15.75" customHeight="1" x14ac:dyDescent="0.25">
      <c r="A26" s="95" t="s">
        <v>48</v>
      </c>
      <c r="B26" s="96" t="s">
        <v>49</v>
      </c>
      <c r="C26" s="97">
        <f t="shared" si="0"/>
        <v>2176.7129559295568</v>
      </c>
      <c r="D26" s="18">
        <f t="shared" si="1"/>
        <v>3920.8932235722968</v>
      </c>
      <c r="E26" s="18">
        <f t="shared" si="2"/>
        <v>6097.6061795018541</v>
      </c>
      <c r="F26" s="99">
        <f t="shared" si="3"/>
        <v>262670.27753320808</v>
      </c>
      <c r="G26" s="18">
        <f t="shared" si="10"/>
        <v>166940.576</v>
      </c>
      <c r="H26" s="98">
        <v>208675.72</v>
      </c>
      <c r="I26" s="123">
        <f t="shared" si="4"/>
        <v>-53994.557533208077</v>
      </c>
      <c r="J26" s="123">
        <f t="shared" si="11"/>
        <v>261338.98671648884</v>
      </c>
      <c r="K26" s="18">
        <v>326673.73339561105</v>
      </c>
      <c r="L26" s="123">
        <f t="shared" si="5"/>
        <v>64003.455862402974</v>
      </c>
      <c r="M26" s="100">
        <f>'Tax Levies and EQ Tax Rates'!O40</f>
        <v>2.3213917603338139</v>
      </c>
      <c r="N26" s="101">
        <f>'# and Assessed Value of Parcels'!G40/'# and Assessed Value of Parcels'!O40</f>
        <v>0.90298507462686572</v>
      </c>
      <c r="O26" s="101">
        <f>'# and Assessed Value of Parcels'!H40/'# and Assessed Value of Parcels'!P40</f>
        <v>0.53546516271707922</v>
      </c>
      <c r="P26" s="101">
        <f t="shared" si="6"/>
        <v>0.71922511867197247</v>
      </c>
      <c r="Q26" s="102">
        <f>'Tax Levies and EQ Tax Rates'!I40</f>
        <v>62587105.100000001</v>
      </c>
      <c r="R26" s="102">
        <f t="shared" si="7"/>
        <v>45014218.092882715</v>
      </c>
      <c r="S26" s="103">
        <v>43738</v>
      </c>
      <c r="T26" s="102">
        <f t="shared" si="8"/>
        <v>1029.1787025671663</v>
      </c>
      <c r="U26" s="102">
        <f>'Tax Levies and EQ Tax Rates'!C40</f>
        <v>94215916</v>
      </c>
      <c r="V26" s="103">
        <v>6584</v>
      </c>
      <c r="W26" s="104">
        <f t="shared" si="9"/>
        <v>14309.829283110572</v>
      </c>
    </row>
    <row r="27" spans="1:23" ht="15.75" customHeight="1" x14ac:dyDescent="0.25">
      <c r="A27" s="105" t="s">
        <v>48</v>
      </c>
      <c r="B27" s="106" t="s">
        <v>50</v>
      </c>
      <c r="C27" s="107">
        <f t="shared" si="0"/>
        <v>2340.894765907688</v>
      </c>
      <c r="D27" s="108">
        <f t="shared" si="1"/>
        <v>3006.7261355275896</v>
      </c>
      <c r="E27" s="108">
        <f t="shared" si="2"/>
        <v>5347.6209014352771</v>
      </c>
      <c r="F27" s="109">
        <f t="shared" si="3"/>
        <v>185330.48946937759</v>
      </c>
      <c r="G27" s="18">
        <f t="shared" si="10"/>
        <v>211443.64705882352</v>
      </c>
      <c r="H27" s="98">
        <v>264304.5588235294</v>
      </c>
      <c r="I27" s="123">
        <f t="shared" si="4"/>
        <v>78974.069354151812</v>
      </c>
      <c r="J27" s="123">
        <f>0.8*K27</f>
        <v>217291.85933477563</v>
      </c>
      <c r="K27" s="108">
        <v>271614.82416846952</v>
      </c>
      <c r="L27" s="124">
        <f t="shared" si="5"/>
        <v>86284.334699091938</v>
      </c>
      <c r="M27" s="110">
        <f>'Tax Levies and EQ Tax Rates'!O41</f>
        <v>2.885451237271389</v>
      </c>
      <c r="N27" s="111">
        <f>'# and Assessed Value of Parcels'!G41/'# and Assessed Value of Parcels'!O41</f>
        <v>0.94367816091954027</v>
      </c>
      <c r="O27" s="111">
        <f>'# and Assessed Value of Parcels'!H41/'# and Assessed Value of Parcels'!P41</f>
        <v>0.73460247640646714</v>
      </c>
      <c r="P27" s="111">
        <f t="shared" si="6"/>
        <v>0.83914031866300376</v>
      </c>
      <c r="Q27" s="112">
        <f>'Tax Levies and EQ Tax Rates'!I41</f>
        <v>38983658</v>
      </c>
      <c r="R27" s="112">
        <f t="shared" si="7"/>
        <v>32712759.196769554</v>
      </c>
      <c r="S27" s="113">
        <v>29556</v>
      </c>
      <c r="T27" s="112">
        <f t="shared" si="8"/>
        <v>1106.8060358901596</v>
      </c>
      <c r="U27" s="112">
        <f>'Tax Levies and EQ Tax Rates'!C41</f>
        <v>45342308</v>
      </c>
      <c r="V27" s="113">
        <v>4132</v>
      </c>
      <c r="W27" s="114">
        <f t="shared" si="9"/>
        <v>10973.453049370764</v>
      </c>
    </row>
    <row r="28" spans="1:23" ht="15.75" customHeight="1" x14ac:dyDescent="0.25">
      <c r="C28" s="148">
        <f>AVERAGE(C10:C27)</f>
        <v>1721.3218719080671</v>
      </c>
      <c r="D28" s="116">
        <f t="shared" ref="D28:W28" si="12">AVERAGE(D10:D27)</f>
        <v>3007.6023592912834</v>
      </c>
      <c r="E28" s="116">
        <f t="shared" si="12"/>
        <v>4728.9242311993494</v>
      </c>
      <c r="F28" s="116">
        <f t="shared" si="12"/>
        <v>212399.38375373228</v>
      </c>
      <c r="G28" s="116">
        <f t="shared" si="12"/>
        <v>162835.10738061761</v>
      </c>
      <c r="H28" s="116">
        <f t="shared" si="12"/>
        <v>203543.88422577202</v>
      </c>
      <c r="I28" s="116">
        <f t="shared" si="12"/>
        <v>-8855.499527960259</v>
      </c>
      <c r="J28" s="116">
        <f t="shared" si="12"/>
        <v>251741.36392815612</v>
      </c>
      <c r="K28" s="116">
        <f t="shared" si="12"/>
        <v>314676.7049101952</v>
      </c>
      <c r="L28" s="116">
        <f t="shared" si="12"/>
        <v>102277.32115646295</v>
      </c>
      <c r="M28" s="146">
        <f t="shared" si="12"/>
        <v>2.4129290581626734</v>
      </c>
      <c r="N28" s="149">
        <f t="shared" si="12"/>
        <v>0.93928186702290029</v>
      </c>
      <c r="O28" s="149">
        <f t="shared" si="12"/>
        <v>0.78564249687468224</v>
      </c>
      <c r="P28" s="149">
        <f t="shared" si="12"/>
        <v>0.86246218194879132</v>
      </c>
      <c r="Q28" s="150">
        <f t="shared" si="12"/>
        <v>54007357.601666659</v>
      </c>
      <c r="R28" s="150">
        <f t="shared" si="12"/>
        <v>42881523.388608858</v>
      </c>
      <c r="S28" s="151">
        <f t="shared" si="12"/>
        <v>59688.777777777781</v>
      </c>
      <c r="T28" s="116">
        <f t="shared" si="12"/>
        <v>813.86376922367242</v>
      </c>
      <c r="U28" s="150">
        <f t="shared" si="12"/>
        <v>74463249.833333328</v>
      </c>
      <c r="V28" s="151">
        <f t="shared" si="12"/>
        <v>9865.5</v>
      </c>
      <c r="W28" s="116">
        <f t="shared" si="12"/>
        <v>10976.65094631855</v>
      </c>
    </row>
    <row r="29" spans="1:23" ht="15.75" customHeight="1" x14ac:dyDescent="0.25">
      <c r="H29" s="18"/>
    </row>
    <row r="30" spans="1:23" ht="15.75" customHeight="1" x14ac:dyDescent="0.25">
      <c r="H30" s="18"/>
    </row>
    <row r="31" spans="1:23" ht="15.75" customHeight="1" x14ac:dyDescent="0.25">
      <c r="H31" s="18"/>
    </row>
    <row r="32" spans="1:23" ht="15.75" customHeight="1" x14ac:dyDescent="0.25">
      <c r="H32" s="18"/>
    </row>
    <row r="33" spans="8:8" ht="15.75" customHeight="1" x14ac:dyDescent="0.25">
      <c r="H33" s="18"/>
    </row>
    <row r="34" spans="8:8" ht="15.75" customHeight="1" x14ac:dyDescent="0.25">
      <c r="H34" s="18"/>
    </row>
    <row r="35" spans="8:8" ht="15.75" customHeight="1" x14ac:dyDescent="0.25">
      <c r="H35" s="18"/>
    </row>
    <row r="36" spans="8:8" ht="15.75" customHeight="1" x14ac:dyDescent="0.25">
      <c r="H36" s="18"/>
    </row>
    <row r="37" spans="8:8" ht="15.75" customHeight="1" x14ac:dyDescent="0.25">
      <c r="H37" s="18"/>
    </row>
    <row r="38" spans="8:8" ht="15.75" customHeight="1" x14ac:dyDescent="0.25">
      <c r="H38" s="18"/>
    </row>
    <row r="39" spans="8:8" ht="15.75" customHeight="1" x14ac:dyDescent="0.25">
      <c r="H39" s="18"/>
    </row>
    <row r="40" spans="8:8" ht="15.75" customHeight="1" x14ac:dyDescent="0.25">
      <c r="H40" s="18"/>
    </row>
    <row r="41" spans="8:8" ht="15.75" customHeight="1" x14ac:dyDescent="0.25">
      <c r="H41" s="18"/>
    </row>
    <row r="42" spans="8:8" ht="15.75" customHeight="1" x14ac:dyDescent="0.25">
      <c r="H42" s="18"/>
    </row>
    <row r="43" spans="8:8" ht="15.75" customHeight="1" x14ac:dyDescent="0.25">
      <c r="H43" s="18"/>
    </row>
    <row r="44" spans="8:8" ht="15.75" customHeight="1" x14ac:dyDescent="0.25">
      <c r="H44" s="18"/>
    </row>
    <row r="45" spans="8:8" ht="15.75" customHeight="1" x14ac:dyDescent="0.25">
      <c r="H45" s="18"/>
    </row>
    <row r="46" spans="8:8" ht="15.75" customHeight="1" x14ac:dyDescent="0.25">
      <c r="H46" s="18"/>
    </row>
    <row r="47" spans="8:8" ht="15.75" customHeight="1" x14ac:dyDescent="0.25">
      <c r="H47" s="18"/>
    </row>
    <row r="48" spans="8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A8:B8"/>
    <mergeCell ref="C8:F8"/>
    <mergeCell ref="M8:W8"/>
    <mergeCell ref="G8:L8"/>
  </mergeCells>
  <pageMargins left="0.7" right="0.7" top="0.75" bottom="0.75" header="0" footer="0"/>
  <pageSetup scale="3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000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E8" sqref="E8:J8"/>
    </sheetView>
  </sheetViews>
  <sheetFormatPr defaultColWidth="14.42578125" defaultRowHeight="15" customHeight="1" x14ac:dyDescent="0.25"/>
  <cols>
    <col min="1" max="2" width="20.85546875" customWidth="1"/>
    <col min="3" max="14" width="15.85546875" customWidth="1"/>
    <col min="15" max="28" width="11.42578125" customWidth="1"/>
  </cols>
  <sheetData>
    <row r="1" spans="1:28" x14ac:dyDescent="0.25">
      <c r="A1" s="19" t="s">
        <v>88</v>
      </c>
    </row>
    <row r="3" spans="1:28" x14ac:dyDescent="0.25">
      <c r="A3" s="219" t="s">
        <v>85</v>
      </c>
      <c r="B3" s="209"/>
    </row>
    <row r="4" spans="1:28" x14ac:dyDescent="0.25">
      <c r="A4" s="2" t="s">
        <v>0</v>
      </c>
      <c r="B4" s="3" t="s">
        <v>1</v>
      </c>
    </row>
    <row r="5" spans="1:28" x14ac:dyDescent="0.25">
      <c r="A5" s="4" t="s">
        <v>2</v>
      </c>
      <c r="B5" s="5">
        <v>2.5070000000000001</v>
      </c>
    </row>
    <row r="6" spans="1:28" x14ac:dyDescent="0.25">
      <c r="A6" s="6" t="s">
        <v>3</v>
      </c>
      <c r="B6" s="7">
        <v>0.41899999999999998</v>
      </c>
    </row>
    <row r="7" spans="1:28" ht="15.75" thickBot="1" x14ac:dyDescent="0.3">
      <c r="A7" s="8"/>
      <c r="B7" s="8"/>
    </row>
    <row r="8" spans="1:28" ht="31.5" customHeight="1" x14ac:dyDescent="0.25">
      <c r="A8" s="220" t="s">
        <v>4</v>
      </c>
      <c r="B8" s="209"/>
      <c r="C8" s="222" t="s">
        <v>89</v>
      </c>
      <c r="D8" s="209"/>
      <c r="E8" s="220" t="s">
        <v>6</v>
      </c>
      <c r="F8" s="223"/>
      <c r="G8" s="223"/>
      <c r="H8" s="223"/>
      <c r="I8" s="223"/>
      <c r="J8" s="224"/>
      <c r="K8" s="219" t="s">
        <v>52</v>
      </c>
      <c r="L8" s="221"/>
      <c r="M8" s="221"/>
      <c r="N8" s="221"/>
      <c r="O8" s="221"/>
      <c r="P8" s="221"/>
      <c r="Q8" s="221"/>
      <c r="R8" s="209"/>
    </row>
    <row r="9" spans="1:28" ht="64.5" customHeight="1" thickBot="1" x14ac:dyDescent="0.3">
      <c r="A9" s="93" t="s">
        <v>8</v>
      </c>
      <c r="B9" s="10" t="s">
        <v>9</v>
      </c>
      <c r="C9" s="11" t="s">
        <v>10</v>
      </c>
      <c r="D9" s="16" t="s">
        <v>13</v>
      </c>
      <c r="E9" s="13" t="s">
        <v>202</v>
      </c>
      <c r="F9" s="13" t="s">
        <v>191</v>
      </c>
      <c r="G9" s="94" t="s">
        <v>192</v>
      </c>
      <c r="H9" s="14" t="s">
        <v>201</v>
      </c>
      <c r="I9" s="14" t="s">
        <v>193</v>
      </c>
      <c r="J9" s="15" t="s">
        <v>194</v>
      </c>
      <c r="K9" s="125" t="s">
        <v>90</v>
      </c>
      <c r="L9" s="126" t="s">
        <v>15</v>
      </c>
      <c r="M9" s="126" t="s">
        <v>16</v>
      </c>
      <c r="N9" s="126" t="s">
        <v>17</v>
      </c>
      <c r="O9" s="126" t="s">
        <v>18</v>
      </c>
      <c r="P9" s="126" t="s">
        <v>19</v>
      </c>
      <c r="Q9" s="126" t="s">
        <v>20</v>
      </c>
      <c r="R9" s="127" t="s">
        <v>21</v>
      </c>
      <c r="Z9" s="17"/>
      <c r="AA9" s="17"/>
      <c r="AB9" s="17"/>
    </row>
    <row r="10" spans="1:28" ht="15.75" x14ac:dyDescent="0.25">
      <c r="A10" s="95" t="s">
        <v>25</v>
      </c>
      <c r="B10" s="96" t="s">
        <v>26</v>
      </c>
      <c r="C10" s="128" t="s">
        <v>91</v>
      </c>
      <c r="D10" s="99">
        <f t="shared" ref="D10:D47" si="0">C10/(K10/100)</f>
        <v>78043.644778924005</v>
      </c>
      <c r="E10" s="18">
        <f>0.85*F10</f>
        <v>51199.75</v>
      </c>
      <c r="F10" s="115">
        <v>60235</v>
      </c>
      <c r="G10" s="129">
        <f t="shared" ref="G10:G47" si="1">F10-D10</f>
        <v>-17808.644778924005</v>
      </c>
      <c r="H10" s="123">
        <f>0.85*I10</f>
        <v>83608.55</v>
      </c>
      <c r="I10" s="116">
        <v>98363</v>
      </c>
      <c r="J10" s="123">
        <f t="shared" ref="J10:J47" si="2">I10-D10</f>
        <v>20319.355221075995</v>
      </c>
      <c r="K10" s="130">
        <v>3.0639394236053876</v>
      </c>
      <c r="L10" s="101">
        <f>'# and Assessed Value of Parcels'!G5/'# and Assessed Value of Parcels'!O5</f>
        <v>0.92172812725958064</v>
      </c>
      <c r="M10" s="101">
        <f>'# and Assessed Value of Parcels'!H5/'# and Assessed Value of Parcels'!P5</f>
        <v>0.73101366343961027</v>
      </c>
      <c r="N10" s="101">
        <f t="shared" ref="N10:N47" si="3">(L10+M10)/2</f>
        <v>0.8263708953495954</v>
      </c>
      <c r="O10" s="102">
        <f>'Tax Levies and EQ Tax Rates'!I5</f>
        <v>23810385</v>
      </c>
      <c r="P10" s="102">
        <f t="shared" ref="P10:P47" si="4">N10*O10</f>
        <v>19676209.171068575</v>
      </c>
      <c r="Q10" s="103">
        <v>20629</v>
      </c>
    </row>
    <row r="11" spans="1:28" ht="15.75" x14ac:dyDescent="0.25">
      <c r="A11" s="95" t="s">
        <v>27</v>
      </c>
      <c r="B11" s="96" t="s">
        <v>54</v>
      </c>
      <c r="C11" s="97">
        <f t="shared" ref="C11:C47" si="5">$B$5*R11</f>
        <v>2372.9204212621289</v>
      </c>
      <c r="D11" s="99">
        <f t="shared" si="0"/>
        <v>442543.7741782596</v>
      </c>
      <c r="E11" s="18">
        <f t="shared" ref="E11:E47" si="6">0.85*F11</f>
        <v>188604.79999999999</v>
      </c>
      <c r="F11" s="115">
        <v>221888</v>
      </c>
      <c r="G11" s="129">
        <f t="shared" si="1"/>
        <v>-220655.7741782596</v>
      </c>
      <c r="H11" s="123">
        <f t="shared" ref="H11:H47" si="7">0.85*I11</f>
        <v>445578.5</v>
      </c>
      <c r="I11" s="116">
        <v>524210</v>
      </c>
      <c r="J11" s="123">
        <f t="shared" si="2"/>
        <v>81666.225821740401</v>
      </c>
      <c r="K11" s="130">
        <v>0.53620015910704022</v>
      </c>
      <c r="L11" s="101">
        <f>'# and Assessed Value of Parcels'!G6/'# and Assessed Value of Parcels'!O6</f>
        <v>0.96785505552308593</v>
      </c>
      <c r="M11" s="101">
        <f>'# and Assessed Value of Parcels'!H6/'# and Assessed Value of Parcels'!P6</f>
        <v>0.93507137588122136</v>
      </c>
      <c r="N11" s="101">
        <f t="shared" si="3"/>
        <v>0.95146321570215364</v>
      </c>
      <c r="O11" s="102">
        <f>'Tax Levies and EQ Tax Rates'!I6</f>
        <v>10090281.039999999</v>
      </c>
      <c r="P11" s="102">
        <f t="shared" si="4"/>
        <v>9600531.2456568703</v>
      </c>
      <c r="Q11" s="103">
        <v>10143</v>
      </c>
      <c r="R11" s="119">
        <f t="shared" ref="R11:R47" si="8">P11/Q11</f>
        <v>946.51791833351774</v>
      </c>
    </row>
    <row r="12" spans="1:28" ht="15.75" x14ac:dyDescent="0.25">
      <c r="A12" s="95" t="s">
        <v>27</v>
      </c>
      <c r="B12" s="96" t="s">
        <v>28</v>
      </c>
      <c r="C12" s="97">
        <f t="shared" si="5"/>
        <v>2460.8829704440413</v>
      </c>
      <c r="D12" s="99">
        <f t="shared" si="0"/>
        <v>294866.53922706458</v>
      </c>
      <c r="E12" s="18">
        <f t="shared" si="6"/>
        <v>317665.39999999997</v>
      </c>
      <c r="F12" s="115">
        <v>373724</v>
      </c>
      <c r="G12" s="129">
        <f t="shared" si="1"/>
        <v>78857.460772935417</v>
      </c>
      <c r="H12" s="123">
        <f t="shared" si="7"/>
        <v>362854.8</v>
      </c>
      <c r="I12" s="116">
        <v>426888</v>
      </c>
      <c r="J12" s="123">
        <f t="shared" si="2"/>
        <v>132021.46077293542</v>
      </c>
      <c r="K12" s="130">
        <v>0.8345751867589889</v>
      </c>
      <c r="L12" s="101">
        <f>'# and Assessed Value of Parcels'!G7/'# and Assessed Value of Parcels'!O7</f>
        <v>0.98144233027953953</v>
      </c>
      <c r="M12" s="101">
        <f>'# and Assessed Value of Parcels'!H7/'# and Assessed Value of Parcels'!P7</f>
        <v>0.94433258765869066</v>
      </c>
      <c r="N12" s="101">
        <f t="shared" si="3"/>
        <v>0.9628874589691151</v>
      </c>
      <c r="O12" s="102">
        <f>'Tax Levies and EQ Tax Rates'!I7</f>
        <v>17251960.34</v>
      </c>
      <c r="P12" s="102">
        <f t="shared" si="4"/>
        <v>16611696.254018551</v>
      </c>
      <c r="Q12" s="103">
        <v>16923</v>
      </c>
      <c r="R12" s="119">
        <f t="shared" si="8"/>
        <v>981.60469503152819</v>
      </c>
    </row>
    <row r="13" spans="1:28" ht="15.75" x14ac:dyDescent="0.25">
      <c r="A13" s="95" t="s">
        <v>27</v>
      </c>
      <c r="B13" s="96" t="s">
        <v>55</v>
      </c>
      <c r="C13" s="97">
        <f t="shared" si="5"/>
        <v>2803.4130192159423</v>
      </c>
      <c r="D13" s="99">
        <f t="shared" si="0"/>
        <v>464701.7484782252</v>
      </c>
      <c r="E13" s="18">
        <f t="shared" si="6"/>
        <v>311247.05</v>
      </c>
      <c r="F13" s="115">
        <v>366173</v>
      </c>
      <c r="G13" s="129">
        <f t="shared" si="1"/>
        <v>-98528.7484782252</v>
      </c>
      <c r="H13" s="123">
        <f t="shared" si="7"/>
        <v>423970.64999999997</v>
      </c>
      <c r="I13" s="116">
        <v>498789</v>
      </c>
      <c r="J13" s="123">
        <f t="shared" si="2"/>
        <v>34087.2515217748</v>
      </c>
      <c r="K13" s="130">
        <v>0.60327145925238612</v>
      </c>
      <c r="L13" s="101">
        <f>'# and Assessed Value of Parcels'!G8/'# and Assessed Value of Parcels'!O8</f>
        <v>0.95667319834530806</v>
      </c>
      <c r="M13" s="101">
        <f>'# and Assessed Value of Parcels'!H8/'# and Assessed Value of Parcels'!P8</f>
        <v>0.84635298341916665</v>
      </c>
      <c r="N13" s="101">
        <f t="shared" si="3"/>
        <v>0.9015130908822373</v>
      </c>
      <c r="O13" s="102">
        <f>'Tax Levies and EQ Tax Rates'!I8</f>
        <v>15812581.220000001</v>
      </c>
      <c r="P13" s="102">
        <f t="shared" si="4"/>
        <v>14255248.97046862</v>
      </c>
      <c r="Q13" s="103">
        <v>12748</v>
      </c>
      <c r="R13" s="119">
        <f t="shared" si="8"/>
        <v>1118.2341520606071</v>
      </c>
    </row>
    <row r="14" spans="1:28" ht="15.75" x14ac:dyDescent="0.25">
      <c r="A14" s="95" t="s">
        <v>27</v>
      </c>
      <c r="B14" s="96" t="s">
        <v>56</v>
      </c>
      <c r="C14" s="97">
        <f t="shared" si="5"/>
        <v>2919.4016238408908</v>
      </c>
      <c r="D14" s="99">
        <f t="shared" si="0"/>
        <v>397930.45879568311</v>
      </c>
      <c r="E14" s="18">
        <f t="shared" si="6"/>
        <v>398356.75</v>
      </c>
      <c r="F14" s="115">
        <v>468655</v>
      </c>
      <c r="G14" s="129">
        <f t="shared" si="1"/>
        <v>70724.541204316891</v>
      </c>
      <c r="H14" s="123">
        <f t="shared" si="7"/>
        <v>390546.95</v>
      </c>
      <c r="I14" s="116">
        <v>459467</v>
      </c>
      <c r="J14" s="123">
        <f t="shared" si="2"/>
        <v>61536.541204316891</v>
      </c>
      <c r="K14" s="130">
        <v>0.73364618347545341</v>
      </c>
      <c r="L14" s="101">
        <f>'# and Assessed Value of Parcels'!G9/'# and Assessed Value of Parcels'!O9</f>
        <v>0.91940211019929663</v>
      </c>
      <c r="M14" s="101">
        <f>'# and Assessed Value of Parcels'!H9/'# and Assessed Value of Parcels'!P9</f>
        <v>0.75552222177542272</v>
      </c>
      <c r="N14" s="101">
        <f t="shared" si="3"/>
        <v>0.83746216598735967</v>
      </c>
      <c r="O14" s="102">
        <f>'Tax Levies and EQ Tax Rates'!I9</f>
        <v>15687741</v>
      </c>
      <c r="P14" s="102">
        <f t="shared" si="4"/>
        <v>13137889.557308707</v>
      </c>
      <c r="Q14" s="103">
        <v>11282</v>
      </c>
      <c r="R14" s="119">
        <f t="shared" si="8"/>
        <v>1164.5000493980417</v>
      </c>
    </row>
    <row r="15" spans="1:28" ht="15.75" x14ac:dyDescent="0.25">
      <c r="A15" s="95" t="s">
        <v>57</v>
      </c>
      <c r="B15" s="96" t="s">
        <v>58</v>
      </c>
      <c r="C15" s="97">
        <f t="shared" si="5"/>
        <v>979.87569712827155</v>
      </c>
      <c r="D15" s="99">
        <f t="shared" si="0"/>
        <v>251144.77693204669</v>
      </c>
      <c r="E15" s="18">
        <f t="shared" si="6"/>
        <v>396433.34011627903</v>
      </c>
      <c r="F15" s="115">
        <v>466392.1648426812</v>
      </c>
      <c r="G15" s="129">
        <f t="shared" si="1"/>
        <v>215247.38791063451</v>
      </c>
      <c r="H15" s="123">
        <f t="shared" si="7"/>
        <v>260810.6</v>
      </c>
      <c r="I15" s="116">
        <v>306836</v>
      </c>
      <c r="J15" s="123">
        <f t="shared" si="2"/>
        <v>55691.22306795331</v>
      </c>
      <c r="K15" s="130">
        <v>0.39016367734113805</v>
      </c>
      <c r="L15" s="101">
        <f>'# and Assessed Value of Parcels'!G10/'# and Assessed Value of Parcels'!O10</f>
        <v>0.96040113139624583</v>
      </c>
      <c r="M15" s="101">
        <f>'# and Assessed Value of Parcels'!H10/'# and Assessed Value of Parcels'!P10</f>
        <v>0.85301721781778006</v>
      </c>
      <c r="N15" s="101">
        <f t="shared" si="3"/>
        <v>0.90670917460701295</v>
      </c>
      <c r="O15" s="102">
        <f>'Tax Levies and EQ Tax Rates'!I10</f>
        <v>5518999.9199999999</v>
      </c>
      <c r="P15" s="102">
        <f t="shared" si="4"/>
        <v>5004127.8621193701</v>
      </c>
      <c r="Q15" s="103">
        <v>12803</v>
      </c>
      <c r="R15" s="119">
        <f t="shared" si="8"/>
        <v>390.85588238064281</v>
      </c>
    </row>
    <row r="16" spans="1:28" ht="15.75" x14ac:dyDescent="0.25">
      <c r="A16" s="95" t="s">
        <v>57</v>
      </c>
      <c r="B16" s="96" t="s">
        <v>59</v>
      </c>
      <c r="C16" s="97">
        <f t="shared" si="5"/>
        <v>1254.3185558173095</v>
      </c>
      <c r="D16" s="99">
        <f t="shared" si="0"/>
        <v>332213.92242703907</v>
      </c>
      <c r="E16" s="18">
        <f t="shared" si="6"/>
        <v>92946.93333333332</v>
      </c>
      <c r="F16" s="115">
        <v>109349.33333333333</v>
      </c>
      <c r="G16" s="129">
        <f t="shared" si="1"/>
        <v>-222864.58909370576</v>
      </c>
      <c r="H16" s="123">
        <f t="shared" si="7"/>
        <v>315166.39999999997</v>
      </c>
      <c r="I16" s="116">
        <v>370784</v>
      </c>
      <c r="J16" s="123">
        <f t="shared" si="2"/>
        <v>38570.07757296093</v>
      </c>
      <c r="K16" s="130">
        <v>0.37756351288762841</v>
      </c>
      <c r="L16" s="101">
        <f>'# and Assessed Value of Parcels'!G11/'# and Assessed Value of Parcels'!O11</f>
        <v>0.9585129938235637</v>
      </c>
      <c r="M16" s="101">
        <f>'# and Assessed Value of Parcels'!H11/'# and Assessed Value of Parcels'!P11</f>
        <v>0.91282274937277808</v>
      </c>
      <c r="N16" s="101">
        <f t="shared" si="3"/>
        <v>0.93566787159817089</v>
      </c>
      <c r="O16" s="102">
        <f>'Tax Levies and EQ Tax Rates'!I11</f>
        <v>13099197.74</v>
      </c>
      <c r="P16" s="102">
        <f t="shared" si="4"/>
        <v>12256498.469029371</v>
      </c>
      <c r="Q16" s="103">
        <v>24497</v>
      </c>
      <c r="R16" s="119">
        <f t="shared" si="8"/>
        <v>500.32650810423195</v>
      </c>
    </row>
    <row r="17" spans="1:18" ht="15.75" x14ac:dyDescent="0.25">
      <c r="A17" s="95" t="s">
        <v>57</v>
      </c>
      <c r="B17" s="96" t="s">
        <v>60</v>
      </c>
      <c r="C17" s="97">
        <f t="shared" si="5"/>
        <v>1363.5614369474292</v>
      </c>
      <c r="D17" s="99">
        <f t="shared" si="0"/>
        <v>134498.29152996701</v>
      </c>
      <c r="E17" s="18">
        <f t="shared" si="6"/>
        <v>79820.737500000003</v>
      </c>
      <c r="F17" s="115">
        <v>93906.75</v>
      </c>
      <c r="G17" s="129">
        <f t="shared" si="1"/>
        <v>-40591.541529967013</v>
      </c>
      <c r="H17" s="123">
        <f t="shared" si="7"/>
        <v>141365.19999999998</v>
      </c>
      <c r="I17" s="116">
        <v>166312</v>
      </c>
      <c r="J17" s="123">
        <f t="shared" si="2"/>
        <v>31813.708470032987</v>
      </c>
      <c r="K17" s="130">
        <v>1.0138132027079465</v>
      </c>
      <c r="L17" s="101">
        <f>'# and Assessed Value of Parcels'!G12/'# and Assessed Value of Parcels'!O12</f>
        <v>0.9812830932151213</v>
      </c>
      <c r="M17" s="101">
        <f>'# and Assessed Value of Parcels'!H12/'# and Assessed Value of Parcels'!P12</f>
        <v>0.9332896028243699</v>
      </c>
      <c r="N17" s="101">
        <f t="shared" si="3"/>
        <v>0.95728634801974555</v>
      </c>
      <c r="O17" s="102">
        <f>'Tax Levies and EQ Tax Rates'!I12</f>
        <v>15285484.98</v>
      </c>
      <c r="P17" s="102">
        <f t="shared" si="4"/>
        <v>14632586.094214873</v>
      </c>
      <c r="Q17" s="103">
        <v>26903</v>
      </c>
      <c r="R17" s="119">
        <f t="shared" si="8"/>
        <v>543.90165015852779</v>
      </c>
    </row>
    <row r="18" spans="1:18" ht="15.75" x14ac:dyDescent="0.25">
      <c r="A18" s="95" t="s">
        <v>57</v>
      </c>
      <c r="B18" s="96" t="s">
        <v>61</v>
      </c>
      <c r="C18" s="97">
        <f t="shared" si="5"/>
        <v>965.62616190885581</v>
      </c>
      <c r="D18" s="99">
        <f t="shared" si="0"/>
        <v>284629.24303176557</v>
      </c>
      <c r="E18" s="18">
        <f t="shared" si="6"/>
        <v>111745.29249999998</v>
      </c>
      <c r="F18" s="115">
        <v>131465.04999999999</v>
      </c>
      <c r="G18" s="129">
        <f t="shared" si="1"/>
        <v>-153164.19303176558</v>
      </c>
      <c r="H18" s="123">
        <f t="shared" si="7"/>
        <v>202753.9</v>
      </c>
      <c r="I18" s="116">
        <v>238534</v>
      </c>
      <c r="J18" s="123">
        <f t="shared" si="2"/>
        <v>-46095.243031765567</v>
      </c>
      <c r="K18" s="130">
        <v>0.33925753784936591</v>
      </c>
      <c r="L18" s="101">
        <f>'# and Assessed Value of Parcels'!G13/'# and Assessed Value of Parcels'!O13</f>
        <v>0.96051204165762638</v>
      </c>
      <c r="M18" s="101">
        <f>'# and Assessed Value of Parcels'!H13/'# and Assessed Value of Parcels'!P13</f>
        <v>0.90183161244513477</v>
      </c>
      <c r="N18" s="101">
        <f t="shared" si="3"/>
        <v>0.93117182705138057</v>
      </c>
      <c r="O18" s="102">
        <f>'Tax Levies and EQ Tax Rates'!I13</f>
        <v>4267546.8</v>
      </c>
      <c r="P18" s="102">
        <f t="shared" si="4"/>
        <v>3973819.3507832726</v>
      </c>
      <c r="Q18" s="103">
        <v>10317</v>
      </c>
      <c r="R18" s="119">
        <f t="shared" si="8"/>
        <v>385.17198321055275</v>
      </c>
    </row>
    <row r="19" spans="1:18" ht="15.75" x14ac:dyDescent="0.25">
      <c r="A19" s="95" t="s">
        <v>62</v>
      </c>
      <c r="B19" s="96" t="s">
        <v>63</v>
      </c>
      <c r="C19" s="97">
        <f t="shared" si="5"/>
        <v>855.96648268411832</v>
      </c>
      <c r="D19" s="99">
        <f t="shared" si="0"/>
        <v>224885.37615411833</v>
      </c>
      <c r="E19" s="18">
        <f t="shared" si="6"/>
        <v>83827.290789473685</v>
      </c>
      <c r="F19" s="115">
        <v>98620.34210526316</v>
      </c>
      <c r="G19" s="129">
        <f t="shared" si="1"/>
        <v>-126265.03404885517</v>
      </c>
      <c r="H19" s="123">
        <f t="shared" si="7"/>
        <v>100715.65</v>
      </c>
      <c r="I19" s="116">
        <v>118489</v>
      </c>
      <c r="J19" s="123">
        <f t="shared" si="2"/>
        <v>-106396.37615411833</v>
      </c>
      <c r="K19" s="130">
        <v>0.38062345241048834</v>
      </c>
      <c r="L19" s="101">
        <f>'# and Assessed Value of Parcels'!G14/'# and Assessed Value of Parcels'!O14</f>
        <v>0.94935451837140017</v>
      </c>
      <c r="M19" s="101">
        <f>'# and Assessed Value of Parcels'!H14/'# and Assessed Value of Parcels'!P14</f>
        <v>0.95309491622629139</v>
      </c>
      <c r="N19" s="101">
        <f t="shared" si="3"/>
        <v>0.95122471729884572</v>
      </c>
      <c r="O19" s="102">
        <f>'Tax Levies and EQ Tax Rates'!I14</f>
        <v>502154.1</v>
      </c>
      <c r="P19" s="102">
        <f t="shared" si="4"/>
        <v>477661.39181295631</v>
      </c>
      <c r="Q19" s="103">
        <v>1399</v>
      </c>
      <c r="R19" s="119">
        <f t="shared" si="8"/>
        <v>341.43058742884654</v>
      </c>
    </row>
    <row r="20" spans="1:18" ht="15.75" x14ac:dyDescent="0.25">
      <c r="A20" s="95" t="s">
        <v>62</v>
      </c>
      <c r="B20" s="120" t="s">
        <v>64</v>
      </c>
      <c r="C20" s="97">
        <f t="shared" si="5"/>
        <v>574.61714286722679</v>
      </c>
      <c r="D20" s="99">
        <f t="shared" si="0"/>
        <v>117556.40569239038</v>
      </c>
      <c r="E20" s="18">
        <f t="shared" si="6"/>
        <v>73999.008571428567</v>
      </c>
      <c r="F20" s="115">
        <v>87057.657142857148</v>
      </c>
      <c r="G20" s="129">
        <f t="shared" si="1"/>
        <v>-30498.748549533237</v>
      </c>
      <c r="H20" s="123">
        <f t="shared" si="7"/>
        <v>121416.55</v>
      </c>
      <c r="I20" s="116">
        <v>142843</v>
      </c>
      <c r="J20" s="123">
        <f t="shared" si="2"/>
        <v>25286.594307609615</v>
      </c>
      <c r="K20" s="130">
        <v>0.48880121800493487</v>
      </c>
      <c r="L20" s="101">
        <f>'# and Assessed Value of Parcels'!G15/'# and Assessed Value of Parcels'!O15</f>
        <v>0.95576808129109381</v>
      </c>
      <c r="M20" s="101">
        <f>'# and Assessed Value of Parcels'!H15/'# and Assessed Value of Parcels'!P15</f>
        <v>0.9003796958191036</v>
      </c>
      <c r="N20" s="101">
        <f t="shared" si="3"/>
        <v>0.92807388855509876</v>
      </c>
      <c r="O20" s="102">
        <f>'Tax Levies and EQ Tax Rates'!I15</f>
        <v>1369687.7</v>
      </c>
      <c r="P20" s="102">
        <f t="shared" si="4"/>
        <v>1271171.3898450895</v>
      </c>
      <c r="Q20" s="103">
        <v>5546</v>
      </c>
      <c r="R20" s="119">
        <f t="shared" si="8"/>
        <v>229.20508291472945</v>
      </c>
    </row>
    <row r="21" spans="1:18" ht="15.75" customHeight="1" x14ac:dyDescent="0.25">
      <c r="A21" s="95" t="s">
        <v>62</v>
      </c>
      <c r="B21" s="96" t="s">
        <v>65</v>
      </c>
      <c r="C21" s="97">
        <f t="shared" si="5"/>
        <v>948.10158481888379</v>
      </c>
      <c r="D21" s="99">
        <f t="shared" si="0"/>
        <v>173887.70310669168</v>
      </c>
      <c r="E21" s="18">
        <f t="shared" si="6"/>
        <v>30672.25</v>
      </c>
      <c r="F21" s="115">
        <v>36085</v>
      </c>
      <c r="G21" s="129">
        <f t="shared" si="1"/>
        <v>-137802.70310669168</v>
      </c>
      <c r="H21" s="123">
        <f t="shared" si="7"/>
        <v>140316.29999999999</v>
      </c>
      <c r="I21" s="116">
        <v>165078</v>
      </c>
      <c r="J21" s="123">
        <f t="shared" si="2"/>
        <v>-8809.7031066916825</v>
      </c>
      <c r="K21" s="130">
        <v>0.54523785631762611</v>
      </c>
      <c r="L21" s="101">
        <f>'# and Assessed Value of Parcels'!G16/'# and Assessed Value of Parcels'!O16</f>
        <v>0.96660808435852374</v>
      </c>
      <c r="M21" s="101">
        <f>'# and Assessed Value of Parcels'!H16/'# and Assessed Value of Parcels'!P16</f>
        <v>0.93631576070851408</v>
      </c>
      <c r="N21" s="101">
        <f t="shared" si="3"/>
        <v>0.95146192253351891</v>
      </c>
      <c r="O21" s="102">
        <f>'Tax Levies and EQ Tax Rates'!I16</f>
        <v>1227003.3700000001</v>
      </c>
      <c r="P21" s="102">
        <f t="shared" si="4"/>
        <v>1167446.9853753068</v>
      </c>
      <c r="Q21" s="103">
        <v>3087</v>
      </c>
      <c r="R21" s="119">
        <f t="shared" si="8"/>
        <v>378.18172509728112</v>
      </c>
    </row>
    <row r="22" spans="1:18" ht="15.75" customHeight="1" x14ac:dyDescent="0.25">
      <c r="A22" s="133" t="s">
        <v>29</v>
      </c>
      <c r="B22" s="134" t="s">
        <v>64</v>
      </c>
      <c r="C22" s="135">
        <f t="shared" si="5"/>
        <v>3114.381071674381</v>
      </c>
      <c r="D22" s="136">
        <f t="shared" si="0"/>
        <v>716320.63547737198</v>
      </c>
      <c r="E22" s="18">
        <f t="shared" si="6"/>
        <v>186735.65</v>
      </c>
      <c r="F22" s="143">
        <v>219689</v>
      </c>
      <c r="G22" s="137">
        <f t="shared" si="1"/>
        <v>-496631.63547737198</v>
      </c>
      <c r="H22" s="123">
        <f t="shared" si="7"/>
        <v>512735.67706108617</v>
      </c>
      <c r="I22" s="144">
        <v>603218.44360127789</v>
      </c>
      <c r="J22" s="137">
        <f t="shared" si="2"/>
        <v>-113102.19187609409</v>
      </c>
      <c r="K22" s="138">
        <v>0.43477472481284701</v>
      </c>
      <c r="L22" s="139">
        <f>'[1]# and Assessed Value of Parcels'!G17/'[1]# and Assessed Value of Parcels'!O17</f>
        <v>0.78907203907203904</v>
      </c>
      <c r="M22" s="139">
        <f>'[1]# and Assessed Value of Parcels'!H17/'[1]# and Assessed Value of Parcels'!P17</f>
        <v>0.44402101784565112</v>
      </c>
      <c r="N22" s="139">
        <f t="shared" si="3"/>
        <v>0.61654652845884506</v>
      </c>
      <c r="O22" s="140">
        <f>'[1]Tax Levies and EQ Tax Rates'!I17</f>
        <v>15861222.08</v>
      </c>
      <c r="P22" s="140">
        <f t="shared" si="4"/>
        <v>9779181.4105387814</v>
      </c>
      <c r="Q22" s="141">
        <v>7872</v>
      </c>
      <c r="R22" s="142">
        <f t="shared" si="8"/>
        <v>1242.2740612981177</v>
      </c>
    </row>
    <row r="23" spans="1:18" ht="15.75" customHeight="1" x14ac:dyDescent="0.25">
      <c r="A23" s="95" t="s">
        <v>29</v>
      </c>
      <c r="B23" s="96" t="s">
        <v>30</v>
      </c>
      <c r="C23" s="97">
        <f t="shared" si="5"/>
        <v>1405.7625223743805</v>
      </c>
      <c r="D23" s="99">
        <f t="shared" si="0"/>
        <v>83506.810471304649</v>
      </c>
      <c r="E23" s="18">
        <f t="shared" si="6"/>
        <v>139850.21666666665</v>
      </c>
      <c r="F23" s="115">
        <v>164529.66666666666</v>
      </c>
      <c r="G23" s="129">
        <f t="shared" si="1"/>
        <v>81022.856195362008</v>
      </c>
      <c r="H23" s="123">
        <f t="shared" si="7"/>
        <v>175809.75</v>
      </c>
      <c r="I23" s="116">
        <v>206835</v>
      </c>
      <c r="J23" s="123">
        <f t="shared" si="2"/>
        <v>123328.18952869535</v>
      </c>
      <c r="K23" s="130">
        <v>1.6834106277564524</v>
      </c>
      <c r="L23" s="101">
        <f>'# and Assessed Value of Parcels'!G18/'# and Assessed Value of Parcels'!O18</f>
        <v>0.84162883700821445</v>
      </c>
      <c r="M23" s="101">
        <f>'# and Assessed Value of Parcels'!H18/'# and Assessed Value of Parcels'!P18</f>
        <v>0.54365223337971258</v>
      </c>
      <c r="N23" s="101">
        <f t="shared" si="3"/>
        <v>0.69264053519396351</v>
      </c>
      <c r="O23" s="102">
        <f>'Tax Levies and EQ Tax Rates'!I18</f>
        <v>252218004</v>
      </c>
      <c r="P23" s="102">
        <f t="shared" si="4"/>
        <v>174696413.27611324</v>
      </c>
      <c r="Q23" s="103">
        <v>311549</v>
      </c>
      <c r="R23" s="119">
        <f t="shared" si="8"/>
        <v>560.73495108670943</v>
      </c>
    </row>
    <row r="24" spans="1:18" ht="15.75" customHeight="1" x14ac:dyDescent="0.25">
      <c r="A24" s="95" t="s">
        <v>66</v>
      </c>
      <c r="B24" s="96" t="s">
        <v>67</v>
      </c>
      <c r="C24" s="97">
        <f t="shared" si="5"/>
        <v>1074.1715973331111</v>
      </c>
      <c r="D24" s="99">
        <f t="shared" si="0"/>
        <v>362477.47540937545</v>
      </c>
      <c r="E24" s="18">
        <f t="shared" si="6"/>
        <v>51587.775000000001</v>
      </c>
      <c r="F24" s="115">
        <v>60691.5</v>
      </c>
      <c r="G24" s="129">
        <f t="shared" si="1"/>
        <v>-301785.97540937545</v>
      </c>
      <c r="H24" s="123">
        <f t="shared" si="7"/>
        <v>322852.95</v>
      </c>
      <c r="I24" s="116">
        <v>379827</v>
      </c>
      <c r="J24" s="123">
        <f t="shared" si="2"/>
        <v>17349.524590624555</v>
      </c>
      <c r="K24" s="130">
        <v>0.2963416129843548</v>
      </c>
      <c r="L24" s="101">
        <f>'# and Assessed Value of Parcels'!G19/'# and Assessed Value of Parcels'!O19</f>
        <v>0.96383866481223923</v>
      </c>
      <c r="M24" s="101">
        <f>'# and Assessed Value of Parcels'!H19/'# and Assessed Value of Parcels'!P19</f>
        <v>0.93906348074760293</v>
      </c>
      <c r="N24" s="101">
        <f t="shared" si="3"/>
        <v>0.95145107277992103</v>
      </c>
      <c r="O24" s="102">
        <f>'Tax Levies and EQ Tax Rates'!I19</f>
        <v>2789807.14</v>
      </c>
      <c r="P24" s="102">
        <f t="shared" si="4"/>
        <v>2654364.9962020833</v>
      </c>
      <c r="Q24" s="103">
        <v>6195</v>
      </c>
      <c r="R24" s="119">
        <f t="shared" si="8"/>
        <v>428.46892594061069</v>
      </c>
    </row>
    <row r="25" spans="1:18" ht="15.75" customHeight="1" x14ac:dyDescent="0.25">
      <c r="A25" s="95" t="s">
        <v>31</v>
      </c>
      <c r="B25" s="96" t="s">
        <v>32</v>
      </c>
      <c r="C25" s="97">
        <f t="shared" si="5"/>
        <v>1974.4170036211983</v>
      </c>
      <c r="D25" s="99">
        <f t="shared" si="0"/>
        <v>341385.10766268207</v>
      </c>
      <c r="E25" s="18">
        <f t="shared" si="6"/>
        <v>193957.95833333334</v>
      </c>
      <c r="F25" s="115">
        <v>228185.83333333334</v>
      </c>
      <c r="G25" s="129">
        <f t="shared" si="1"/>
        <v>-113199.27432934873</v>
      </c>
      <c r="H25" s="123">
        <f t="shared" si="7"/>
        <v>323265.2</v>
      </c>
      <c r="I25" s="116">
        <v>380312</v>
      </c>
      <c r="J25" s="123">
        <f t="shared" si="2"/>
        <v>38926.892337317928</v>
      </c>
      <c r="K25" s="130">
        <v>0.5783547551734719</v>
      </c>
      <c r="L25" s="101">
        <f>'# and Assessed Value of Parcels'!G20/'# and Assessed Value of Parcels'!O20</f>
        <v>0.95667524385135538</v>
      </c>
      <c r="M25" s="101">
        <f>'# and Assessed Value of Parcels'!H20/'# and Assessed Value of Parcels'!P20</f>
        <v>0.81220548036186702</v>
      </c>
      <c r="N25" s="101">
        <f t="shared" si="3"/>
        <v>0.88444036210661126</v>
      </c>
      <c r="O25" s="102">
        <f>'Tax Levies and EQ Tax Rates'!I20</f>
        <v>44269379.890000001</v>
      </c>
      <c r="P25" s="102">
        <f t="shared" si="4"/>
        <v>39153626.380146734</v>
      </c>
      <c r="Q25" s="103">
        <v>49715</v>
      </c>
      <c r="R25" s="119">
        <f t="shared" si="8"/>
        <v>787.561628887594</v>
      </c>
    </row>
    <row r="26" spans="1:18" ht="15.75" customHeight="1" x14ac:dyDescent="0.25">
      <c r="A26" s="95" t="s">
        <v>31</v>
      </c>
      <c r="B26" s="96" t="s">
        <v>33</v>
      </c>
      <c r="C26" s="97">
        <f t="shared" si="5"/>
        <v>1317.6338999575396</v>
      </c>
      <c r="D26" s="99">
        <f t="shared" si="0"/>
        <v>298304.22629462002</v>
      </c>
      <c r="E26" s="18">
        <f t="shared" si="6"/>
        <v>111461.10714285714</v>
      </c>
      <c r="F26" s="115">
        <v>131130.71428571429</v>
      </c>
      <c r="G26" s="129">
        <f t="shared" si="1"/>
        <v>-167173.51200890573</v>
      </c>
      <c r="H26" s="123">
        <f t="shared" si="7"/>
        <v>319196.25</v>
      </c>
      <c r="I26" s="116">
        <v>375525</v>
      </c>
      <c r="J26" s="123">
        <f t="shared" si="2"/>
        <v>77220.773705379979</v>
      </c>
      <c r="K26" s="130">
        <v>0.44170808986667826</v>
      </c>
      <c r="L26" s="101">
        <f>'# and Assessed Value of Parcels'!G21/'# and Assessed Value of Parcels'!O21</f>
        <v>0.97122792306482886</v>
      </c>
      <c r="M26" s="101">
        <f>'# and Assessed Value of Parcels'!H21/'# and Assessed Value of Parcels'!P21</f>
        <v>0.88589383044965919</v>
      </c>
      <c r="N26" s="101">
        <f t="shared" si="3"/>
        <v>0.92856087675724397</v>
      </c>
      <c r="O26" s="102">
        <f>'Tax Levies and EQ Tax Rates'!I21</f>
        <v>37853002.5</v>
      </c>
      <c r="P26" s="102">
        <f t="shared" si="4"/>
        <v>35148817.189294145</v>
      </c>
      <c r="Q26" s="103">
        <v>66876</v>
      </c>
      <c r="R26" s="119">
        <f t="shared" si="8"/>
        <v>525.58193057739913</v>
      </c>
    </row>
    <row r="27" spans="1:18" ht="15.75" customHeight="1" x14ac:dyDescent="0.25">
      <c r="A27" s="95" t="s">
        <v>31</v>
      </c>
      <c r="B27" s="96" t="s">
        <v>34</v>
      </c>
      <c r="C27" s="97">
        <f t="shared" si="5"/>
        <v>2082.3659793070105</v>
      </c>
      <c r="D27" s="99">
        <f t="shared" si="0"/>
        <v>256291.9341106787</v>
      </c>
      <c r="E27" s="18">
        <f t="shared" si="6"/>
        <v>260167.84062499998</v>
      </c>
      <c r="F27" s="115">
        <v>306079.8125</v>
      </c>
      <c r="G27" s="129">
        <f t="shared" si="1"/>
        <v>49787.878389321297</v>
      </c>
      <c r="H27" s="123">
        <f t="shared" si="7"/>
        <v>276150.55</v>
      </c>
      <c r="I27" s="116">
        <v>324883</v>
      </c>
      <c r="J27" s="123">
        <f t="shared" si="2"/>
        <v>68591.065889321297</v>
      </c>
      <c r="K27" s="130">
        <v>0.81249766463885231</v>
      </c>
      <c r="L27" s="101">
        <f>'# and Assessed Value of Parcels'!G22/'# and Assessed Value of Parcels'!O22</f>
        <v>0.92460317460317465</v>
      </c>
      <c r="M27" s="101">
        <f>'# and Assessed Value of Parcels'!H22/'# and Assessed Value of Parcels'!P22</f>
        <v>0.82398227250676292</v>
      </c>
      <c r="N27" s="101">
        <f t="shared" si="3"/>
        <v>0.87429272355496879</v>
      </c>
      <c r="O27" s="102">
        <f>'Tax Levies and EQ Tax Rates'!I22</f>
        <v>13904912.58</v>
      </c>
      <c r="P27" s="102">
        <f t="shared" si="4"/>
        <v>12156963.890361948</v>
      </c>
      <c r="Q27" s="103">
        <v>14636</v>
      </c>
      <c r="R27" s="119">
        <f t="shared" si="8"/>
        <v>830.62065389190684</v>
      </c>
    </row>
    <row r="28" spans="1:18" ht="15.75" customHeight="1" x14ac:dyDescent="0.25">
      <c r="A28" s="95" t="s">
        <v>31</v>
      </c>
      <c r="B28" s="96" t="s">
        <v>35</v>
      </c>
      <c r="C28" s="97">
        <f t="shared" si="5"/>
        <v>1781.7236289823722</v>
      </c>
      <c r="D28" s="99">
        <f t="shared" si="0"/>
        <v>263670.10972994589</v>
      </c>
      <c r="E28" s="18">
        <f t="shared" si="6"/>
        <v>177373.81799999997</v>
      </c>
      <c r="F28" s="115">
        <v>208675.08</v>
      </c>
      <c r="G28" s="129">
        <f t="shared" si="1"/>
        <v>-54995.029729945905</v>
      </c>
      <c r="H28" s="123">
        <f t="shared" si="7"/>
        <v>281311.75</v>
      </c>
      <c r="I28" s="116">
        <v>330955</v>
      </c>
      <c r="J28" s="123">
        <f t="shared" si="2"/>
        <v>67284.890270054108</v>
      </c>
      <c r="K28" s="130">
        <v>0.67573970777621895</v>
      </c>
      <c r="L28" s="101">
        <f>'# and Assessed Value of Parcels'!G23/'# and Assessed Value of Parcels'!O23</f>
        <v>0.96279666452854396</v>
      </c>
      <c r="M28" s="101">
        <f>'# and Assessed Value of Parcels'!H23/'# and Assessed Value of Parcels'!P23</f>
        <v>0.85286917759426784</v>
      </c>
      <c r="N28" s="101">
        <f t="shared" si="3"/>
        <v>0.9078329210614059</v>
      </c>
      <c r="O28" s="102">
        <f>'Tax Levies and EQ Tax Rates'!I23</f>
        <v>35498457.659999996</v>
      </c>
      <c r="P28" s="102">
        <f t="shared" si="4"/>
        <v>32226668.510652438</v>
      </c>
      <c r="Q28" s="103">
        <v>45345</v>
      </c>
      <c r="R28" s="119">
        <f t="shared" si="8"/>
        <v>710.69949301251381</v>
      </c>
    </row>
    <row r="29" spans="1:18" ht="15.75" customHeight="1" x14ac:dyDescent="0.25">
      <c r="A29" s="95" t="s">
        <v>31</v>
      </c>
      <c r="B29" s="96" t="s">
        <v>36</v>
      </c>
      <c r="C29" s="97">
        <f t="shared" si="5"/>
        <v>1530.3094348017294</v>
      </c>
      <c r="D29" s="99">
        <f t="shared" si="0"/>
        <v>216882.5791307147</v>
      </c>
      <c r="E29" s="18">
        <f t="shared" si="6"/>
        <v>138949.21666666665</v>
      </c>
      <c r="F29" s="115">
        <v>163469.66666666666</v>
      </c>
      <c r="G29" s="129">
        <f t="shared" si="1"/>
        <v>-53412.912464048044</v>
      </c>
      <c r="H29" s="123">
        <f t="shared" si="7"/>
        <v>249449.5</v>
      </c>
      <c r="I29" s="116">
        <v>293470</v>
      </c>
      <c r="J29" s="123">
        <f t="shared" si="2"/>
        <v>76587.420869285299</v>
      </c>
      <c r="K29" s="130">
        <v>0.70559352481667736</v>
      </c>
      <c r="L29" s="101">
        <f>'# and Assessed Value of Parcels'!G24/'# and Assessed Value of Parcels'!O24</f>
        <v>0.95376862401402274</v>
      </c>
      <c r="M29" s="101">
        <f>'# and Assessed Value of Parcels'!H24/'# and Assessed Value of Parcels'!P24</f>
        <v>0.87694473065069911</v>
      </c>
      <c r="N29" s="101">
        <f t="shared" si="3"/>
        <v>0.91535667733236092</v>
      </c>
      <c r="O29" s="102">
        <f>'Tax Levies and EQ Tax Rates'!I24</f>
        <v>10748447</v>
      </c>
      <c r="P29" s="102">
        <f t="shared" si="4"/>
        <v>9838662.7324029822</v>
      </c>
      <c r="Q29" s="103">
        <v>16118</v>
      </c>
      <c r="R29" s="119">
        <f t="shared" si="8"/>
        <v>610.41461300427977</v>
      </c>
    </row>
    <row r="30" spans="1:18" ht="15.75" customHeight="1" x14ac:dyDescent="0.25">
      <c r="A30" s="95" t="s">
        <v>31</v>
      </c>
      <c r="B30" s="96" t="s">
        <v>37</v>
      </c>
      <c r="C30" s="97">
        <f t="shared" si="5"/>
        <v>2105.6043748699826</v>
      </c>
      <c r="D30" s="99">
        <f t="shared" si="0"/>
        <v>254692.19030703703</v>
      </c>
      <c r="E30" s="18">
        <f t="shared" si="6"/>
        <v>197913.71994219653</v>
      </c>
      <c r="F30" s="115">
        <v>232839.67052023122</v>
      </c>
      <c r="G30" s="129">
        <f t="shared" si="1"/>
        <v>-21852.519786805817</v>
      </c>
      <c r="H30" s="123">
        <f t="shared" si="7"/>
        <v>261477</v>
      </c>
      <c r="I30" s="116">
        <v>307620</v>
      </c>
      <c r="J30" s="123">
        <f t="shared" si="2"/>
        <v>52927.809692962968</v>
      </c>
      <c r="K30" s="130">
        <v>0.82672514313518219</v>
      </c>
      <c r="L30" s="101">
        <f>'# and Assessed Value of Parcels'!G25/'# and Assessed Value of Parcels'!O25</f>
        <v>0.95527753810756399</v>
      </c>
      <c r="M30" s="101">
        <f>'# and Assessed Value of Parcels'!H25/'# and Assessed Value of Parcels'!P25</f>
        <v>0.7164271010805654</v>
      </c>
      <c r="N30" s="101">
        <f t="shared" si="3"/>
        <v>0.8358523195940647</v>
      </c>
      <c r="O30" s="102">
        <f>'Tax Levies and EQ Tax Rates'!I25</f>
        <v>104139647.23</v>
      </c>
      <c r="P30" s="102">
        <f t="shared" si="4"/>
        <v>87045365.698903114</v>
      </c>
      <c r="Q30" s="103">
        <v>103639</v>
      </c>
      <c r="R30" s="119">
        <f t="shared" si="8"/>
        <v>839.89005778619162</v>
      </c>
    </row>
    <row r="31" spans="1:18" ht="15.75" customHeight="1" x14ac:dyDescent="0.25">
      <c r="A31" s="95" t="s">
        <v>38</v>
      </c>
      <c r="B31" s="96" t="s">
        <v>39</v>
      </c>
      <c r="C31" s="97">
        <f t="shared" si="5"/>
        <v>2860.0045640177641</v>
      </c>
      <c r="D31" s="99">
        <f t="shared" si="0"/>
        <v>152636.76191752599</v>
      </c>
      <c r="E31" s="18">
        <f t="shared" si="6"/>
        <v>114510.9375</v>
      </c>
      <c r="F31" s="115">
        <v>134718.75</v>
      </c>
      <c r="G31" s="129">
        <f t="shared" si="1"/>
        <v>-17918.01191752599</v>
      </c>
      <c r="H31" s="123">
        <f t="shared" si="7"/>
        <v>156307.35</v>
      </c>
      <c r="I31" s="116">
        <v>183891</v>
      </c>
      <c r="J31" s="123">
        <f t="shared" si="2"/>
        <v>31254.23808247401</v>
      </c>
      <c r="K31" s="130">
        <v>1.8737324666013986</v>
      </c>
      <c r="L31" s="101">
        <f>'# and Assessed Value of Parcels'!G26/'# and Assessed Value of Parcels'!O26</f>
        <v>0.96441281138790036</v>
      </c>
      <c r="M31" s="101">
        <f>'# and Assessed Value of Parcels'!H26/'# and Assessed Value of Parcels'!P26</f>
        <v>0.88303144331890093</v>
      </c>
      <c r="N31" s="101">
        <f t="shared" si="3"/>
        <v>0.92372212735340065</v>
      </c>
      <c r="O31" s="102">
        <f>'Tax Levies and EQ Tax Rates'!I26</f>
        <v>12047538.390000001</v>
      </c>
      <c r="P31" s="102">
        <f t="shared" si="4"/>
        <v>11128577.790982563</v>
      </c>
      <c r="Q31" s="103">
        <v>9755</v>
      </c>
      <c r="R31" s="119">
        <f t="shared" si="8"/>
        <v>1140.8075644267108</v>
      </c>
    </row>
    <row r="32" spans="1:18" ht="15.75" customHeight="1" x14ac:dyDescent="0.25">
      <c r="A32" s="95" t="s">
        <v>38</v>
      </c>
      <c r="B32" s="96" t="s">
        <v>40</v>
      </c>
      <c r="C32" s="97">
        <f t="shared" si="5"/>
        <v>1448.9358864858825</v>
      </c>
      <c r="D32" s="99">
        <f t="shared" si="0"/>
        <v>434175.36220194318</v>
      </c>
      <c r="E32" s="18">
        <f t="shared" si="6"/>
        <v>248253.125</v>
      </c>
      <c r="F32" s="115">
        <v>292062.5</v>
      </c>
      <c r="G32" s="129">
        <f t="shared" si="1"/>
        <v>-142112.86220194318</v>
      </c>
      <c r="H32" s="123">
        <f t="shared" si="7"/>
        <v>408413.95</v>
      </c>
      <c r="I32" s="116">
        <v>480487</v>
      </c>
      <c r="J32" s="123">
        <f t="shared" si="2"/>
        <v>46311.637798056821</v>
      </c>
      <c r="K32" s="130">
        <v>0.33372135146903037</v>
      </c>
      <c r="L32" s="101">
        <f>'# and Assessed Value of Parcels'!G27/'# and Assessed Value of Parcels'!O27</f>
        <v>0.97272104180945851</v>
      </c>
      <c r="M32" s="101">
        <f>'# and Assessed Value of Parcels'!H27/'# and Assessed Value of Parcels'!P27</f>
        <v>0.92205750411890763</v>
      </c>
      <c r="N32" s="101">
        <f t="shared" si="3"/>
        <v>0.94738927296418307</v>
      </c>
      <c r="O32" s="102">
        <f>'Tax Levies and EQ Tax Rates'!I27</f>
        <v>24954149.290000003</v>
      </c>
      <c r="P32" s="102">
        <f t="shared" si="4"/>
        <v>23641293.353292789</v>
      </c>
      <c r="Q32" s="103">
        <v>40905</v>
      </c>
      <c r="R32" s="119">
        <f t="shared" si="8"/>
        <v>577.95607757713697</v>
      </c>
    </row>
    <row r="33" spans="1:18" ht="15.75" customHeight="1" x14ac:dyDescent="0.25">
      <c r="A33" s="95" t="s">
        <v>38</v>
      </c>
      <c r="B33" s="96" t="s">
        <v>68</v>
      </c>
      <c r="C33" s="97">
        <f t="shared" si="5"/>
        <v>1904.8699685844927</v>
      </c>
      <c r="D33" s="99">
        <f t="shared" si="0"/>
        <v>470665.98975654435</v>
      </c>
      <c r="E33" s="18">
        <f t="shared" si="6"/>
        <v>764998.98</v>
      </c>
      <c r="F33" s="115">
        <v>899998.8</v>
      </c>
      <c r="G33" s="129">
        <f t="shared" si="1"/>
        <v>429332.81024345569</v>
      </c>
      <c r="H33" s="123">
        <f t="shared" si="7"/>
        <v>460710.2</v>
      </c>
      <c r="I33" s="116">
        <v>542012</v>
      </c>
      <c r="J33" s="123">
        <f t="shared" si="2"/>
        <v>71346.010243455647</v>
      </c>
      <c r="K33" s="130">
        <v>0.4047179974847559</v>
      </c>
      <c r="L33" s="101">
        <f>'# and Assessed Value of Parcels'!G28/'# and Assessed Value of Parcels'!O28</f>
        <v>0.95530168589174802</v>
      </c>
      <c r="M33" s="101">
        <f>'# and Assessed Value of Parcels'!H28/'# and Assessed Value of Parcels'!P28</f>
        <v>0.88451081022686973</v>
      </c>
      <c r="N33" s="101">
        <f t="shared" si="3"/>
        <v>0.91990624805930887</v>
      </c>
      <c r="O33" s="102">
        <f>'Tax Levies and EQ Tax Rates'!I28</f>
        <v>22856408.080000002</v>
      </c>
      <c r="P33" s="102">
        <f t="shared" si="4"/>
        <v>21025752.600985274</v>
      </c>
      <c r="Q33" s="103">
        <v>27672</v>
      </c>
      <c r="R33" s="119">
        <f t="shared" si="8"/>
        <v>759.82049006162447</v>
      </c>
    </row>
    <row r="34" spans="1:18" ht="15.75" customHeight="1" x14ac:dyDescent="0.25">
      <c r="A34" s="95" t="s">
        <v>38</v>
      </c>
      <c r="B34" s="96" t="s">
        <v>69</v>
      </c>
      <c r="C34" s="97">
        <f t="shared" si="5"/>
        <v>7076.5078604598111</v>
      </c>
      <c r="D34" s="99">
        <f t="shared" si="0"/>
        <v>1377780.3025524113</v>
      </c>
      <c r="E34" s="18">
        <f t="shared" si="6"/>
        <v>1223129.5999999999</v>
      </c>
      <c r="F34" s="115">
        <v>1438976</v>
      </c>
      <c r="G34" s="129">
        <f t="shared" si="1"/>
        <v>61195.697447588667</v>
      </c>
      <c r="H34" s="123">
        <f t="shared" si="7"/>
        <v>592720.29999999993</v>
      </c>
      <c r="I34" s="116">
        <v>697318</v>
      </c>
      <c r="J34" s="123">
        <f t="shared" si="2"/>
        <v>-680462.30255241133</v>
      </c>
      <c r="K34" s="130">
        <v>0.51361656479993245</v>
      </c>
      <c r="L34" s="101">
        <f>'# and Assessed Value of Parcels'!G29/'# and Assessed Value of Parcels'!O29</f>
        <v>0.93580470162748641</v>
      </c>
      <c r="M34" s="101">
        <f>'# and Assessed Value of Parcels'!H29/'# and Assessed Value of Parcels'!P29</f>
        <v>0.81959946110420667</v>
      </c>
      <c r="N34" s="101">
        <f t="shared" si="3"/>
        <v>0.87770208136584649</v>
      </c>
      <c r="O34" s="102">
        <f>'Tax Levies and EQ Tax Rates'!I29</f>
        <v>4660000</v>
      </c>
      <c r="P34" s="102">
        <f t="shared" si="4"/>
        <v>4090091.6991648446</v>
      </c>
      <c r="Q34" s="103">
        <v>1449</v>
      </c>
      <c r="R34" s="119">
        <f t="shared" si="8"/>
        <v>2822.6995853449585</v>
      </c>
    </row>
    <row r="35" spans="1:18" ht="15.75" customHeight="1" x14ac:dyDescent="0.25">
      <c r="A35" s="95" t="s">
        <v>70</v>
      </c>
      <c r="B35" s="96" t="s">
        <v>71</v>
      </c>
      <c r="C35" s="97">
        <f t="shared" si="5"/>
        <v>1978.6137971057713</v>
      </c>
      <c r="D35" s="99">
        <f t="shared" si="0"/>
        <v>428203.47782078432</v>
      </c>
      <c r="E35" s="18">
        <f t="shared" si="6"/>
        <v>119518.925</v>
      </c>
      <c r="F35" s="115">
        <v>140610.5</v>
      </c>
      <c r="G35" s="129">
        <f t="shared" si="1"/>
        <v>-287592.97782078432</v>
      </c>
      <c r="H35" s="123">
        <f t="shared" si="7"/>
        <v>374935.85</v>
      </c>
      <c r="I35" s="116">
        <v>441101</v>
      </c>
      <c r="J35" s="123">
        <f t="shared" si="2"/>
        <v>12897.522179215681</v>
      </c>
      <c r="K35" s="130">
        <v>0.46207326647026414</v>
      </c>
      <c r="L35" s="101">
        <f>'# and Assessed Value of Parcels'!G30/'# and Assessed Value of Parcels'!O30</f>
        <v>0.93611412622111956</v>
      </c>
      <c r="M35" s="101">
        <f>'# and Assessed Value of Parcels'!H30/'# and Assessed Value of Parcels'!P30</f>
        <v>0.80900620679671975</v>
      </c>
      <c r="N35" s="101">
        <f t="shared" si="3"/>
        <v>0.87256016650891965</v>
      </c>
      <c r="O35" s="102">
        <f>'Tax Levies and EQ Tax Rates'!I30</f>
        <v>15473379.300000001</v>
      </c>
      <c r="P35" s="102">
        <f t="shared" si="4"/>
        <v>13501454.418463672</v>
      </c>
      <c r="Q35" s="103">
        <v>17107</v>
      </c>
      <c r="R35" s="119">
        <f t="shared" si="8"/>
        <v>789.2356589971165</v>
      </c>
    </row>
    <row r="36" spans="1:18" ht="15.75" customHeight="1" x14ac:dyDescent="0.25">
      <c r="A36" s="95" t="s">
        <v>70</v>
      </c>
      <c r="B36" s="96" t="s">
        <v>72</v>
      </c>
      <c r="C36" s="97">
        <f t="shared" si="5"/>
        <v>3042.8333931786642</v>
      </c>
      <c r="D36" s="99">
        <f t="shared" si="0"/>
        <v>311011.97118250153</v>
      </c>
      <c r="E36" s="18">
        <f t="shared" si="6"/>
        <v>189015.98041666666</v>
      </c>
      <c r="F36" s="115">
        <v>222371.74166666667</v>
      </c>
      <c r="G36" s="129">
        <f t="shared" si="1"/>
        <v>-88640.229515834857</v>
      </c>
      <c r="H36" s="123">
        <f t="shared" si="7"/>
        <v>295781.3</v>
      </c>
      <c r="I36" s="116">
        <v>347978</v>
      </c>
      <c r="J36" s="123">
        <f t="shared" si="2"/>
        <v>36966.028817498474</v>
      </c>
      <c r="K36" s="130">
        <v>0.97836536053884959</v>
      </c>
      <c r="L36" s="101">
        <f>'# and Assessed Value of Parcels'!G31/'# and Assessed Value of Parcels'!O31</f>
        <v>0.97167216721672167</v>
      </c>
      <c r="M36" s="101">
        <f>'# and Assessed Value of Parcels'!H31/'# and Assessed Value of Parcels'!P31</f>
        <v>0.87191037944018179</v>
      </c>
      <c r="N36" s="101">
        <f t="shared" si="3"/>
        <v>0.92179127332845168</v>
      </c>
      <c r="O36" s="102">
        <f>'Tax Levies and EQ Tax Rates'!I31</f>
        <v>14371926.5</v>
      </c>
      <c r="P36" s="102">
        <f t="shared" si="4"/>
        <v>13247916.428617917</v>
      </c>
      <c r="Q36" s="103">
        <v>10915</v>
      </c>
      <c r="R36" s="119">
        <f t="shared" si="8"/>
        <v>1213.7348995527179</v>
      </c>
    </row>
    <row r="37" spans="1:18" ht="15.75" customHeight="1" x14ac:dyDescent="0.25">
      <c r="A37" s="95" t="s">
        <v>41</v>
      </c>
      <c r="B37" s="96" t="s">
        <v>73</v>
      </c>
      <c r="C37" s="97">
        <f t="shared" si="5"/>
        <v>2253.3043912854732</v>
      </c>
      <c r="D37" s="99">
        <f t="shared" si="0"/>
        <v>278834.77482610953</v>
      </c>
      <c r="E37" s="18">
        <f t="shared" si="6"/>
        <v>145646.42078651686</v>
      </c>
      <c r="F37" s="115">
        <v>171348.73033707865</v>
      </c>
      <c r="G37" s="129">
        <f t="shared" si="1"/>
        <v>-107486.04448903087</v>
      </c>
      <c r="H37" s="123">
        <f t="shared" si="7"/>
        <v>297024.84999999998</v>
      </c>
      <c r="I37" s="116">
        <v>349441</v>
      </c>
      <c r="J37" s="123">
        <f t="shared" si="2"/>
        <v>70606.225173890474</v>
      </c>
      <c r="K37" s="130">
        <v>0.80811455195669468</v>
      </c>
      <c r="L37" s="101">
        <f>'# and Assessed Value of Parcels'!G32/'# and Assessed Value of Parcels'!O32</f>
        <v>0.93861280892904597</v>
      </c>
      <c r="M37" s="101">
        <f>'# and Assessed Value of Parcels'!H32/'# and Assessed Value of Parcels'!P32</f>
        <v>0.81106844376357135</v>
      </c>
      <c r="N37" s="101">
        <f t="shared" si="3"/>
        <v>0.87484062634630866</v>
      </c>
      <c r="O37" s="102">
        <f>'Tax Levies and EQ Tax Rates'!I32</f>
        <v>13725969.970000001</v>
      </c>
      <c r="P37" s="102">
        <f t="shared" si="4"/>
        <v>12008036.165765423</v>
      </c>
      <c r="Q37" s="103">
        <v>13360</v>
      </c>
      <c r="R37" s="119">
        <f t="shared" si="8"/>
        <v>898.8051022279509</v>
      </c>
    </row>
    <row r="38" spans="1:18" ht="15.75" customHeight="1" x14ac:dyDescent="0.25">
      <c r="A38" s="95" t="s">
        <v>41</v>
      </c>
      <c r="B38" s="96" t="s">
        <v>42</v>
      </c>
      <c r="C38" s="97">
        <f t="shared" si="5"/>
        <v>1909.5570332949562</v>
      </c>
      <c r="D38" s="99">
        <f t="shared" si="0"/>
        <v>96734.27056332241</v>
      </c>
      <c r="E38" s="18">
        <f t="shared" si="6"/>
        <v>108548.50199999999</v>
      </c>
      <c r="F38" s="115">
        <v>127704.12</v>
      </c>
      <c r="G38" s="129">
        <f t="shared" si="1"/>
        <v>30969.849436677585</v>
      </c>
      <c r="H38" s="123">
        <f t="shared" si="7"/>
        <v>220167</v>
      </c>
      <c r="I38" s="116">
        <v>259020</v>
      </c>
      <c r="J38" s="123">
        <f t="shared" si="2"/>
        <v>162285.72943667759</v>
      </c>
      <c r="K38" s="130">
        <v>1.9740232930634001</v>
      </c>
      <c r="L38" s="101">
        <f>'# and Assessed Value of Parcels'!G33/'# and Assessed Value of Parcels'!O33</f>
        <v>0.8215948144603471</v>
      </c>
      <c r="M38" s="101">
        <f>'# and Assessed Value of Parcels'!H33/'# and Assessed Value of Parcels'!P33</f>
        <v>0.65337602486817126</v>
      </c>
      <c r="N38" s="101">
        <f t="shared" si="3"/>
        <v>0.73748541966425918</v>
      </c>
      <c r="O38" s="102">
        <f>'Tax Levies and EQ Tax Rates'!I33</f>
        <v>164974488.69999999</v>
      </c>
      <c r="P38" s="102">
        <f t="shared" si="4"/>
        <v>121666280.03281608</v>
      </c>
      <c r="Q38" s="103">
        <v>159732</v>
      </c>
      <c r="R38" s="119">
        <f t="shared" si="8"/>
        <v>761.69008109092783</v>
      </c>
    </row>
    <row r="39" spans="1:18" ht="15.75" customHeight="1" x14ac:dyDescent="0.25">
      <c r="A39" s="95" t="s">
        <v>41</v>
      </c>
      <c r="B39" s="96" t="s">
        <v>43</v>
      </c>
      <c r="C39" s="97">
        <f t="shared" si="5"/>
        <v>2226.9444271996413</v>
      </c>
      <c r="D39" s="99">
        <f t="shared" si="0"/>
        <v>263593.84107840923</v>
      </c>
      <c r="E39" s="18">
        <f t="shared" si="6"/>
        <v>236281.31393442623</v>
      </c>
      <c r="F39" s="115">
        <v>277978.01639344264</v>
      </c>
      <c r="G39" s="129">
        <f t="shared" si="1"/>
        <v>14384.175315033412</v>
      </c>
      <c r="H39" s="123">
        <f t="shared" si="7"/>
        <v>252458.5</v>
      </c>
      <c r="I39" s="116">
        <v>297010</v>
      </c>
      <c r="J39" s="123">
        <f t="shared" si="2"/>
        <v>33416.158921590773</v>
      </c>
      <c r="K39" s="130">
        <v>0.84483932480698942</v>
      </c>
      <c r="L39" s="101">
        <f>'# and Assessed Value of Parcels'!G34/'# and Assessed Value of Parcels'!O34</f>
        <v>0.95521999479302266</v>
      </c>
      <c r="M39" s="101">
        <f>'# and Assessed Value of Parcels'!H34/'# and Assessed Value of Parcels'!P34</f>
        <v>0.87552226480698236</v>
      </c>
      <c r="N39" s="101">
        <f t="shared" si="3"/>
        <v>0.91537112980000246</v>
      </c>
      <c r="O39" s="102">
        <f>'Tax Levies and EQ Tax Rates'!I34</f>
        <v>10797816</v>
      </c>
      <c r="P39" s="102">
        <f t="shared" si="4"/>
        <v>9884009.0312925428</v>
      </c>
      <c r="Q39" s="103">
        <v>11127</v>
      </c>
      <c r="R39" s="119">
        <f t="shared" si="8"/>
        <v>888.29055731936216</v>
      </c>
    </row>
    <row r="40" spans="1:18" ht="15.75" customHeight="1" x14ac:dyDescent="0.25">
      <c r="A40" s="95" t="s">
        <v>41</v>
      </c>
      <c r="B40" s="96" t="s">
        <v>44</v>
      </c>
      <c r="C40" s="97">
        <f t="shared" si="5"/>
        <v>2517.1313040126993</v>
      </c>
      <c r="D40" s="99">
        <f t="shared" si="0"/>
        <v>424878.16065230727</v>
      </c>
      <c r="E40" s="18">
        <f t="shared" si="6"/>
        <v>130321.46820512821</v>
      </c>
      <c r="F40" s="115">
        <v>153319.37435897437</v>
      </c>
      <c r="G40" s="129">
        <f t="shared" si="1"/>
        <v>-271558.78629333293</v>
      </c>
      <c r="H40" s="123">
        <f t="shared" si="7"/>
        <v>406169.1</v>
      </c>
      <c r="I40" s="116">
        <v>477846</v>
      </c>
      <c r="J40" s="123">
        <f t="shared" si="2"/>
        <v>52967.83934769273</v>
      </c>
      <c r="K40" s="130">
        <v>0.59243602922498906</v>
      </c>
      <c r="L40" s="101">
        <f>'# and Assessed Value of Parcels'!G35/'# and Assessed Value of Parcels'!O35</f>
        <v>0.95973428121904314</v>
      </c>
      <c r="M40" s="101">
        <f>'# and Assessed Value of Parcels'!H35/'# and Assessed Value of Parcels'!P35</f>
        <v>0.74630979334649838</v>
      </c>
      <c r="N40" s="101">
        <f t="shared" si="3"/>
        <v>0.85302203728277082</v>
      </c>
      <c r="O40" s="102">
        <f>'Tax Levies and EQ Tax Rates'!I35</f>
        <v>64546529</v>
      </c>
      <c r="P40" s="102">
        <f t="shared" si="4"/>
        <v>55059611.667111449</v>
      </c>
      <c r="Q40" s="103">
        <v>54838</v>
      </c>
      <c r="R40" s="119">
        <f t="shared" si="8"/>
        <v>1004.0412062276423</v>
      </c>
    </row>
    <row r="41" spans="1:18" ht="15.75" customHeight="1" x14ac:dyDescent="0.25">
      <c r="A41" s="95" t="s">
        <v>41</v>
      </c>
      <c r="B41" s="96" t="s">
        <v>74</v>
      </c>
      <c r="C41" s="97">
        <f t="shared" si="5"/>
        <v>2344.3112545987228</v>
      </c>
      <c r="D41" s="99">
        <f t="shared" si="0"/>
        <v>303715.35938687349</v>
      </c>
      <c r="E41" s="18">
        <f t="shared" si="6"/>
        <v>252473.8</v>
      </c>
      <c r="F41" s="115">
        <v>297028</v>
      </c>
      <c r="G41" s="129">
        <f t="shared" si="1"/>
        <v>-6687.3593868734897</v>
      </c>
      <c r="H41" s="123">
        <f t="shared" si="7"/>
        <v>329868</v>
      </c>
      <c r="I41" s="116">
        <v>388080</v>
      </c>
      <c r="J41" s="123">
        <f t="shared" si="2"/>
        <v>84364.64061312651</v>
      </c>
      <c r="K41" s="130">
        <v>0.77187774083316352</v>
      </c>
      <c r="L41" s="101">
        <f>'# and Assessed Value of Parcels'!G36/'# and Assessed Value of Parcels'!O36</f>
        <v>0.93500511770726713</v>
      </c>
      <c r="M41" s="101">
        <f>'# and Assessed Value of Parcels'!H36/'# and Assessed Value of Parcels'!P36</f>
        <v>0.79393218764737428</v>
      </c>
      <c r="N41" s="101">
        <f t="shared" si="3"/>
        <v>0.86446865267732065</v>
      </c>
      <c r="O41" s="102">
        <f>'Tax Levies and EQ Tax Rates'!I36</f>
        <v>14585806</v>
      </c>
      <c r="P41" s="102">
        <f t="shared" si="4"/>
        <v>12608972.06103278</v>
      </c>
      <c r="Q41" s="103">
        <v>13484</v>
      </c>
      <c r="R41" s="119">
        <f t="shared" si="8"/>
        <v>935.10620446698158</v>
      </c>
    </row>
    <row r="42" spans="1:18" ht="15.75" customHeight="1" x14ac:dyDescent="0.25">
      <c r="A42" s="95" t="s">
        <v>45</v>
      </c>
      <c r="B42" s="96" t="s">
        <v>75</v>
      </c>
      <c r="C42" s="97">
        <f t="shared" si="5"/>
        <v>1026.5974161626471</v>
      </c>
      <c r="D42" s="99">
        <f t="shared" si="0"/>
        <v>447053.61426234856</v>
      </c>
      <c r="E42" s="18">
        <f t="shared" si="6"/>
        <v>115598.72499999999</v>
      </c>
      <c r="F42" s="115">
        <v>135998.5</v>
      </c>
      <c r="G42" s="129">
        <f t="shared" si="1"/>
        <v>-311055.11426234856</v>
      </c>
      <c r="H42" s="123">
        <f t="shared" si="7"/>
        <v>396014.14999999997</v>
      </c>
      <c r="I42" s="116">
        <v>465899</v>
      </c>
      <c r="J42" s="123">
        <f t="shared" si="2"/>
        <v>18845.385737651435</v>
      </c>
      <c r="K42" s="130">
        <v>0.22963630835566837</v>
      </c>
      <c r="L42" s="101">
        <f>'# and Assessed Value of Parcels'!G37/'# and Assessed Value of Parcels'!O37</f>
        <v>0.96962008847254744</v>
      </c>
      <c r="M42" s="101">
        <f>'# and Assessed Value of Parcels'!H37/'# and Assessed Value of Parcels'!P37</f>
        <v>0.74155473878526956</v>
      </c>
      <c r="N42" s="101">
        <f t="shared" si="3"/>
        <v>0.85558741362890856</v>
      </c>
      <c r="O42" s="102">
        <f>'Tax Levies and EQ Tax Rates'!I37</f>
        <v>22005035.620000001</v>
      </c>
      <c r="P42" s="102">
        <f t="shared" si="4"/>
        <v>18827231.512927808</v>
      </c>
      <c r="Q42" s="103">
        <v>45977</v>
      </c>
      <c r="R42" s="119">
        <f t="shared" si="8"/>
        <v>409.49238777927678</v>
      </c>
    </row>
    <row r="43" spans="1:18" ht="15.75" customHeight="1" x14ac:dyDescent="0.25">
      <c r="A43" s="95" t="s">
        <v>45</v>
      </c>
      <c r="B43" s="96" t="s">
        <v>46</v>
      </c>
      <c r="C43" s="97">
        <f t="shared" si="5"/>
        <v>1376.8740343292368</v>
      </c>
      <c r="D43" s="99">
        <f t="shared" si="0"/>
        <v>376111.76871168666</v>
      </c>
      <c r="E43" s="18">
        <f t="shared" si="6"/>
        <v>120389.325</v>
      </c>
      <c r="F43" s="115">
        <v>141634.5</v>
      </c>
      <c r="G43" s="129">
        <f t="shared" si="1"/>
        <v>-234477.26871168666</v>
      </c>
      <c r="H43" s="123">
        <f t="shared" si="7"/>
        <v>314061.39999999997</v>
      </c>
      <c r="I43" s="116">
        <v>369484</v>
      </c>
      <c r="J43" s="123">
        <f t="shared" si="2"/>
        <v>-6627.7687116866582</v>
      </c>
      <c r="K43" s="130">
        <v>0.36608108250521071</v>
      </c>
      <c r="L43" s="101">
        <f>'# and Assessed Value of Parcels'!G38/'# and Assessed Value of Parcels'!O38</f>
        <v>0.966461229754909</v>
      </c>
      <c r="M43" s="101">
        <f>'# and Assessed Value of Parcels'!H38/'# and Assessed Value of Parcels'!P38</f>
        <v>0.74002784885113326</v>
      </c>
      <c r="N43" s="101">
        <f t="shared" si="3"/>
        <v>0.85324453930302113</v>
      </c>
      <c r="O43" s="102">
        <f>'Tax Levies and EQ Tax Rates'!I38</f>
        <v>44004169</v>
      </c>
      <c r="P43" s="102">
        <f t="shared" si="4"/>
        <v>37546316.905817285</v>
      </c>
      <c r="Q43" s="103">
        <v>68364</v>
      </c>
      <c r="R43" s="119">
        <f t="shared" si="8"/>
        <v>549.21182063391973</v>
      </c>
    </row>
    <row r="44" spans="1:18" ht="15.75" customHeight="1" x14ac:dyDescent="0.25">
      <c r="A44" s="95" t="s">
        <v>45</v>
      </c>
      <c r="B44" s="96" t="s">
        <v>47</v>
      </c>
      <c r="C44" s="97">
        <f t="shared" si="5"/>
        <v>1982.1463594749639</v>
      </c>
      <c r="D44" s="99">
        <f t="shared" si="0"/>
        <v>198385.50521973014</v>
      </c>
      <c r="E44" s="18">
        <f t="shared" si="6"/>
        <v>165344.49263803681</v>
      </c>
      <c r="F44" s="115">
        <v>194522.93251533742</v>
      </c>
      <c r="G44" s="129">
        <f t="shared" si="1"/>
        <v>-3862.5727043927182</v>
      </c>
      <c r="H44" s="123">
        <f t="shared" si="7"/>
        <v>215308.4</v>
      </c>
      <c r="I44" s="116">
        <v>253304</v>
      </c>
      <c r="J44" s="123">
        <f t="shared" si="2"/>
        <v>54918.494780269859</v>
      </c>
      <c r="K44" s="130">
        <v>0.99913870082370937</v>
      </c>
      <c r="L44" s="101">
        <f>'# and Assessed Value of Parcels'!G39/'# and Assessed Value of Parcels'!O39</f>
        <v>0.95111773472429206</v>
      </c>
      <c r="M44" s="101">
        <f>'# and Assessed Value of Parcels'!H39/'# and Assessed Value of Parcels'!P39</f>
        <v>0.86385134818830744</v>
      </c>
      <c r="N44" s="101">
        <f t="shared" si="3"/>
        <v>0.90748454145629975</v>
      </c>
      <c r="O44" s="102">
        <f>'Tax Levies and EQ Tax Rates'!I39</f>
        <v>9542787.1500000004</v>
      </c>
      <c r="P44" s="102">
        <f t="shared" si="4"/>
        <v>8659931.8210328203</v>
      </c>
      <c r="Q44" s="103">
        <v>10953</v>
      </c>
      <c r="R44" s="119">
        <f t="shared" si="8"/>
        <v>790.64473852212359</v>
      </c>
    </row>
    <row r="45" spans="1:18" ht="15.75" customHeight="1" x14ac:dyDescent="0.25">
      <c r="A45" s="95" t="s">
        <v>48</v>
      </c>
      <c r="B45" s="96" t="s">
        <v>49</v>
      </c>
      <c r="C45" s="97">
        <f t="shared" si="5"/>
        <v>2580.1510073358859</v>
      </c>
      <c r="D45" s="99">
        <f t="shared" si="0"/>
        <v>278462.19847143383</v>
      </c>
      <c r="E45" s="18">
        <f t="shared" si="6"/>
        <v>177374.36199999999</v>
      </c>
      <c r="F45" s="115">
        <v>208675.72</v>
      </c>
      <c r="G45" s="129">
        <f t="shared" si="1"/>
        <v>-69786.478471433831</v>
      </c>
      <c r="H45" s="123">
        <f t="shared" si="7"/>
        <v>277672.89999999997</v>
      </c>
      <c r="I45" s="116">
        <v>326674</v>
      </c>
      <c r="J45" s="123">
        <f t="shared" si="2"/>
        <v>48211.801528566168</v>
      </c>
      <c r="K45" s="130">
        <v>0.92657137000969703</v>
      </c>
      <c r="L45" s="101">
        <f>'# and Assessed Value of Parcels'!G40/'# and Assessed Value of Parcels'!O40</f>
        <v>0.90298507462686572</v>
      </c>
      <c r="M45" s="101">
        <f>'# and Assessed Value of Parcels'!H40/'# and Assessed Value of Parcels'!P40</f>
        <v>0.53546516271707922</v>
      </c>
      <c r="N45" s="101">
        <f t="shared" si="3"/>
        <v>0.71922511867197247</v>
      </c>
      <c r="O45" s="102">
        <f>'Tax Levies and EQ Tax Rates'!I40</f>
        <v>62587105.100000001</v>
      </c>
      <c r="P45" s="102">
        <f t="shared" si="4"/>
        <v>45014218.092882715</v>
      </c>
      <c r="Q45" s="103">
        <v>43738</v>
      </c>
      <c r="R45" s="119">
        <f t="shared" si="8"/>
        <v>1029.1787025671663</v>
      </c>
    </row>
    <row r="46" spans="1:18" ht="15.75" customHeight="1" x14ac:dyDescent="0.25">
      <c r="A46" s="95" t="s">
        <v>48</v>
      </c>
      <c r="B46" s="96" t="s">
        <v>50</v>
      </c>
      <c r="C46" s="97">
        <f t="shared" si="5"/>
        <v>2774.7627319766302</v>
      </c>
      <c r="D46" s="99">
        <f t="shared" si="0"/>
        <v>208013.17845090633</v>
      </c>
      <c r="E46" s="18">
        <f t="shared" si="6"/>
        <v>224658.87499999997</v>
      </c>
      <c r="F46" s="115">
        <v>264304.5588235294</v>
      </c>
      <c r="G46" s="129">
        <f t="shared" si="1"/>
        <v>56291.380372623069</v>
      </c>
      <c r="H46" s="123">
        <f t="shared" si="7"/>
        <v>230872.75</v>
      </c>
      <c r="I46" s="116">
        <v>271615</v>
      </c>
      <c r="J46" s="123">
        <f t="shared" si="2"/>
        <v>63601.821549093671</v>
      </c>
      <c r="K46" s="130">
        <v>1.3339360287845938</v>
      </c>
      <c r="L46" s="101">
        <f>'# and Assessed Value of Parcels'!G41/'# and Assessed Value of Parcels'!O41</f>
        <v>0.94367816091954027</v>
      </c>
      <c r="M46" s="101">
        <f>'# and Assessed Value of Parcels'!H41/'# and Assessed Value of Parcels'!P41</f>
        <v>0.73460247640646714</v>
      </c>
      <c r="N46" s="101">
        <f t="shared" si="3"/>
        <v>0.83914031866300376</v>
      </c>
      <c r="O46" s="102">
        <f>'Tax Levies and EQ Tax Rates'!I41</f>
        <v>38983658</v>
      </c>
      <c r="P46" s="102">
        <f t="shared" si="4"/>
        <v>32712759.196769554</v>
      </c>
      <c r="Q46" s="103">
        <v>29556</v>
      </c>
      <c r="R46" s="119">
        <f t="shared" si="8"/>
        <v>1106.8060358901596</v>
      </c>
    </row>
    <row r="47" spans="1:18" ht="15.75" customHeight="1" x14ac:dyDescent="0.25">
      <c r="A47" s="105" t="s">
        <v>76</v>
      </c>
      <c r="B47" s="106" t="s">
        <v>77</v>
      </c>
      <c r="C47" s="107">
        <f t="shared" si="5"/>
        <v>1130.4176166591626</v>
      </c>
      <c r="D47" s="109">
        <f t="shared" si="0"/>
        <v>393980.54814443144</v>
      </c>
      <c r="E47" s="18">
        <f t="shared" si="6"/>
        <v>97052.323863636353</v>
      </c>
      <c r="F47" s="147">
        <v>114179.20454545454</v>
      </c>
      <c r="G47" s="131">
        <f t="shared" si="1"/>
        <v>-279801.34359897691</v>
      </c>
      <c r="H47" s="123">
        <f t="shared" si="7"/>
        <v>204157.25</v>
      </c>
      <c r="I47" s="116">
        <v>240185</v>
      </c>
      <c r="J47" s="124">
        <f t="shared" si="2"/>
        <v>-153795.54814443144</v>
      </c>
      <c r="K47" s="132">
        <v>0.28692218993633078</v>
      </c>
      <c r="L47" s="111">
        <f>'# and Assessed Value of Parcels'!G42/'# and Assessed Value of Parcels'!O42</f>
        <v>0.95134061569016881</v>
      </c>
      <c r="M47" s="111">
        <f>'# and Assessed Value of Parcels'!H42/'# and Assessed Value of Parcels'!P42</f>
        <v>0.44542234351045923</v>
      </c>
      <c r="N47" s="111">
        <f t="shared" si="3"/>
        <v>0.69838147960031405</v>
      </c>
      <c r="O47" s="112">
        <f>'Tax Levies and EQ Tax Rates'!I42</f>
        <v>1616042.28</v>
      </c>
      <c r="P47" s="112">
        <f t="shared" si="4"/>
        <v>1128613.998603065</v>
      </c>
      <c r="Q47" s="113">
        <v>2503</v>
      </c>
      <c r="R47" s="122">
        <f t="shared" si="8"/>
        <v>450.90451402439675</v>
      </c>
    </row>
    <row r="48" spans="1:18" ht="15.75" customHeight="1" x14ac:dyDescent="0.25">
      <c r="C48" s="116">
        <f>AVERAGE(C10:C47)</f>
        <v>2008.6220988113296</v>
      </c>
      <c r="D48" s="116">
        <f t="shared" ref="D48:R48" si="9">AVERAGE(D10:D47)</f>
        <v>327228.15889803093</v>
      </c>
      <c r="E48" s="116">
        <f t="shared" si="9"/>
        <v>211253.50161925383</v>
      </c>
      <c r="F48" s="152">
        <f t="shared" si="9"/>
        <v>248533.53131676925</v>
      </c>
      <c r="G48" s="116">
        <f t="shared" si="9"/>
        <v>-78694.62758126168</v>
      </c>
      <c r="H48" s="116">
        <f t="shared" si="9"/>
        <v>293263.05071213387</v>
      </c>
      <c r="I48" s="116">
        <f t="shared" si="9"/>
        <v>345015.35377898096</v>
      </c>
      <c r="J48" s="116">
        <f t="shared" si="9"/>
        <v>17787.194880950079</v>
      </c>
      <c r="K48" s="146">
        <f t="shared" si="9"/>
        <v>0.77531690390378416</v>
      </c>
      <c r="L48" s="149">
        <f t="shared" si="9"/>
        <v>0.94289015605878534</v>
      </c>
      <c r="M48" s="149">
        <f t="shared" si="9"/>
        <v>0.80603558289215715</v>
      </c>
      <c r="N48" s="149">
        <f t="shared" si="9"/>
        <v>0.87446286947547125</v>
      </c>
      <c r="O48" s="150">
        <f t="shared" si="9"/>
        <v>31129966.096578944</v>
      </c>
      <c r="P48" s="116">
        <f t="shared" si="9"/>
        <v>25171474.147470411</v>
      </c>
      <c r="Q48" s="153">
        <f t="shared" si="9"/>
        <v>35254.131578947367</v>
      </c>
      <c r="R48" s="116">
        <f t="shared" si="9"/>
        <v>801.20546422470261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A8:B8"/>
    <mergeCell ref="C8:D8"/>
    <mergeCell ref="K8:R8"/>
    <mergeCell ref="E8:J8"/>
  </mergeCells>
  <pageMargins left="0.7" right="0.7" top="0.75" bottom="0.75" header="0" footer="0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B1000"/>
  <sheetViews>
    <sheetView zoomScale="55" zoomScaleNormal="100" workbookViewId="0">
      <pane xSplit="2" ySplit="9" topLeftCell="C32" activePane="bottomRight" state="frozen"/>
      <selection pane="topRight" activeCell="C1" sqref="C1"/>
      <selection pane="bottomLeft" activeCell="A10" sqref="A10"/>
      <selection pane="bottomRight" activeCell="E8" sqref="E8:J8"/>
    </sheetView>
  </sheetViews>
  <sheetFormatPr defaultColWidth="14.42578125" defaultRowHeight="15" customHeight="1" x14ac:dyDescent="0.25"/>
  <cols>
    <col min="1" max="2" width="20.85546875" customWidth="1"/>
    <col min="3" max="14" width="15.85546875" customWidth="1"/>
    <col min="15" max="28" width="11.42578125" customWidth="1"/>
  </cols>
  <sheetData>
    <row r="1" spans="1:28" x14ac:dyDescent="0.25">
      <c r="A1" t="s">
        <v>190</v>
      </c>
    </row>
    <row r="3" spans="1:28" x14ac:dyDescent="0.25">
      <c r="A3" s="219" t="s">
        <v>189</v>
      </c>
      <c r="B3" s="209"/>
    </row>
    <row r="4" spans="1:28" x14ac:dyDescent="0.25">
      <c r="A4" s="2" t="s">
        <v>0</v>
      </c>
      <c r="B4" s="3" t="s">
        <v>1</v>
      </c>
    </row>
    <row r="5" spans="1:28" x14ac:dyDescent="0.25">
      <c r="A5" s="4" t="s">
        <v>2</v>
      </c>
      <c r="B5" s="5">
        <v>2.1150000000000002</v>
      </c>
    </row>
    <row r="6" spans="1:28" x14ac:dyDescent="0.25">
      <c r="A6" s="6" t="s">
        <v>3</v>
      </c>
      <c r="B6" s="7">
        <v>0.27400000000000002</v>
      </c>
    </row>
    <row r="7" spans="1:28" ht="15.75" thickBot="1" x14ac:dyDescent="0.3">
      <c r="A7" s="8"/>
      <c r="B7" s="8"/>
    </row>
    <row r="8" spans="1:28" ht="31.5" customHeight="1" x14ac:dyDescent="0.25">
      <c r="A8" s="220" t="s">
        <v>4</v>
      </c>
      <c r="B8" s="209"/>
      <c r="C8" s="222" t="s">
        <v>89</v>
      </c>
      <c r="D8" s="209"/>
      <c r="E8" s="220" t="s">
        <v>6</v>
      </c>
      <c r="F8" s="223"/>
      <c r="G8" s="223"/>
      <c r="H8" s="223"/>
      <c r="I8" s="223"/>
      <c r="J8" s="224"/>
      <c r="K8" s="219" t="s">
        <v>52</v>
      </c>
      <c r="L8" s="221"/>
      <c r="M8" s="221"/>
      <c r="N8" s="221"/>
      <c r="O8" s="221"/>
      <c r="P8" s="221"/>
      <c r="Q8" s="221"/>
      <c r="R8" s="209"/>
    </row>
    <row r="9" spans="1:28" ht="64.5" customHeight="1" thickBot="1" x14ac:dyDescent="0.3">
      <c r="A9" s="93" t="s">
        <v>8</v>
      </c>
      <c r="B9" s="10" t="s">
        <v>9</v>
      </c>
      <c r="C9" s="11" t="s">
        <v>10</v>
      </c>
      <c r="D9" s="16" t="s">
        <v>13</v>
      </c>
      <c r="E9" s="12" t="s">
        <v>200</v>
      </c>
      <c r="F9" s="13" t="s">
        <v>191</v>
      </c>
      <c r="G9" s="94" t="s">
        <v>192</v>
      </c>
      <c r="H9" s="14" t="s">
        <v>201</v>
      </c>
      <c r="I9" s="14" t="s">
        <v>193</v>
      </c>
      <c r="J9" s="15" t="s">
        <v>194</v>
      </c>
      <c r="K9" s="125" t="s">
        <v>90</v>
      </c>
      <c r="L9" s="126" t="s">
        <v>15</v>
      </c>
      <c r="M9" s="126" t="s">
        <v>16</v>
      </c>
      <c r="N9" s="126" t="s">
        <v>17</v>
      </c>
      <c r="O9" s="126" t="s">
        <v>18</v>
      </c>
      <c r="P9" s="126" t="s">
        <v>19</v>
      </c>
      <c r="Q9" s="126" t="s">
        <v>20</v>
      </c>
      <c r="R9" s="127" t="s">
        <v>21</v>
      </c>
      <c r="Z9" s="17"/>
      <c r="AA9" s="17"/>
      <c r="AB9" s="17"/>
    </row>
    <row r="10" spans="1:28" ht="15.75" x14ac:dyDescent="0.25">
      <c r="A10" s="95" t="s">
        <v>25</v>
      </c>
      <c r="B10" s="96" t="s">
        <v>26</v>
      </c>
      <c r="C10" s="128" t="s">
        <v>91</v>
      </c>
      <c r="D10" s="99">
        <f t="shared" ref="D10:D47" si="0">C10/(K10/100)</f>
        <v>78043.644778924005</v>
      </c>
      <c r="E10" s="18">
        <f>0.9*F10</f>
        <v>54211.5</v>
      </c>
      <c r="F10" s="115">
        <v>60235</v>
      </c>
      <c r="G10" s="129">
        <f t="shared" ref="G10:G47" si="1">F10-D10</f>
        <v>-17808.644778924005</v>
      </c>
      <c r="H10" s="123">
        <f>0.9*I10</f>
        <v>88526.7</v>
      </c>
      <c r="I10" s="116">
        <v>98363</v>
      </c>
      <c r="J10" s="123">
        <f t="shared" ref="J10:J47" si="2">I10-D10</f>
        <v>20319.355221075995</v>
      </c>
      <c r="K10" s="130">
        <v>3.0639394236053876</v>
      </c>
      <c r="L10" s="101">
        <f>'# and Assessed Value of Parcels'!G5/'# and Assessed Value of Parcels'!O5</f>
        <v>0.92172812725958064</v>
      </c>
      <c r="M10" s="101">
        <f>'# and Assessed Value of Parcels'!H5/'# and Assessed Value of Parcels'!P5</f>
        <v>0.73101366343961027</v>
      </c>
      <c r="N10" s="101">
        <f t="shared" ref="N10:N47" si="3">(L10+M10)/2</f>
        <v>0.8263708953495954</v>
      </c>
      <c r="O10" s="102">
        <f>'Tax Levies and EQ Tax Rates'!I5</f>
        <v>23810385</v>
      </c>
      <c r="P10" s="102">
        <f t="shared" ref="P10:P47" si="4">N10*O10</f>
        <v>19676209.171068575</v>
      </c>
      <c r="Q10" s="103">
        <v>20629</v>
      </c>
    </row>
    <row r="11" spans="1:28" ht="15.75" x14ac:dyDescent="0.25">
      <c r="A11" s="95" t="s">
        <v>27</v>
      </c>
      <c r="B11" s="96" t="s">
        <v>54</v>
      </c>
      <c r="C11" s="97">
        <f t="shared" ref="C11:C47" si="5">$B$5*R11</f>
        <v>2001.8853972753902</v>
      </c>
      <c r="D11" s="99">
        <f t="shared" si="0"/>
        <v>373346.66230036662</v>
      </c>
      <c r="E11" s="18">
        <f t="shared" ref="E11:E47" si="6">0.9*F11</f>
        <v>199699.20000000001</v>
      </c>
      <c r="F11" s="115">
        <v>221888</v>
      </c>
      <c r="G11" s="129">
        <f t="shared" si="1"/>
        <v>-151458.66230036662</v>
      </c>
      <c r="H11" s="123">
        <f t="shared" ref="H11:H47" si="7">0.9*I11</f>
        <v>471789</v>
      </c>
      <c r="I11" s="116">
        <v>524210</v>
      </c>
      <c r="J11" s="123">
        <f t="shared" si="2"/>
        <v>150863.33769963338</v>
      </c>
      <c r="K11" s="130">
        <v>0.53620015910704022</v>
      </c>
      <c r="L11" s="101">
        <f>'# and Assessed Value of Parcels'!G6/'# and Assessed Value of Parcels'!O6</f>
        <v>0.96785505552308593</v>
      </c>
      <c r="M11" s="101">
        <f>'# and Assessed Value of Parcels'!H6/'# and Assessed Value of Parcels'!P6</f>
        <v>0.93507137588122136</v>
      </c>
      <c r="N11" s="101">
        <f t="shared" si="3"/>
        <v>0.95146321570215364</v>
      </c>
      <c r="O11" s="102">
        <f>'Tax Levies and EQ Tax Rates'!I6</f>
        <v>10090281.039999999</v>
      </c>
      <c r="P11" s="102">
        <f t="shared" si="4"/>
        <v>9600531.2456568703</v>
      </c>
      <c r="Q11" s="103">
        <v>10143</v>
      </c>
      <c r="R11" s="119">
        <f t="shared" ref="R11:R47" si="8">P11/Q11</f>
        <v>946.51791833351774</v>
      </c>
    </row>
    <row r="12" spans="1:28" ht="15.75" x14ac:dyDescent="0.25">
      <c r="A12" s="95" t="s">
        <v>27</v>
      </c>
      <c r="B12" s="96" t="s">
        <v>28</v>
      </c>
      <c r="C12" s="97">
        <f t="shared" si="5"/>
        <v>2076.0939299916822</v>
      </c>
      <c r="D12" s="99">
        <f t="shared" si="0"/>
        <v>248760.56261078641</v>
      </c>
      <c r="E12" s="18">
        <f t="shared" si="6"/>
        <v>336351.60000000003</v>
      </c>
      <c r="F12" s="115">
        <v>373724</v>
      </c>
      <c r="G12" s="129">
        <f t="shared" si="1"/>
        <v>124963.43738921359</v>
      </c>
      <c r="H12" s="123">
        <f t="shared" si="7"/>
        <v>384199.2</v>
      </c>
      <c r="I12" s="116">
        <v>426888</v>
      </c>
      <c r="J12" s="123">
        <f t="shared" si="2"/>
        <v>178127.43738921359</v>
      </c>
      <c r="K12" s="130">
        <v>0.8345751867589889</v>
      </c>
      <c r="L12" s="101">
        <f>'# and Assessed Value of Parcels'!G7/'# and Assessed Value of Parcels'!O7</f>
        <v>0.98144233027953953</v>
      </c>
      <c r="M12" s="101">
        <f>'# and Assessed Value of Parcels'!H7/'# and Assessed Value of Parcels'!P7</f>
        <v>0.94433258765869066</v>
      </c>
      <c r="N12" s="101">
        <f t="shared" si="3"/>
        <v>0.9628874589691151</v>
      </c>
      <c r="O12" s="102">
        <f>'Tax Levies and EQ Tax Rates'!I7</f>
        <v>17251960.34</v>
      </c>
      <c r="P12" s="102">
        <f t="shared" si="4"/>
        <v>16611696.254018551</v>
      </c>
      <c r="Q12" s="103">
        <v>16923</v>
      </c>
      <c r="R12" s="119">
        <f t="shared" si="8"/>
        <v>981.60469503152819</v>
      </c>
    </row>
    <row r="13" spans="1:28" ht="15.75" x14ac:dyDescent="0.25">
      <c r="A13" s="95" t="s">
        <v>27</v>
      </c>
      <c r="B13" s="96" t="s">
        <v>55</v>
      </c>
      <c r="C13" s="97">
        <f t="shared" si="5"/>
        <v>2365.0652316081841</v>
      </c>
      <c r="D13" s="99">
        <f t="shared" si="0"/>
        <v>392039.96730412694</v>
      </c>
      <c r="E13" s="18">
        <f t="shared" si="6"/>
        <v>329555.7</v>
      </c>
      <c r="F13" s="115">
        <v>366173</v>
      </c>
      <c r="G13" s="129">
        <f t="shared" si="1"/>
        <v>-25866.967304126942</v>
      </c>
      <c r="H13" s="123">
        <f t="shared" si="7"/>
        <v>448910.10000000003</v>
      </c>
      <c r="I13" s="116">
        <v>498789</v>
      </c>
      <c r="J13" s="123">
        <f t="shared" si="2"/>
        <v>106749.03269587306</v>
      </c>
      <c r="K13" s="130">
        <v>0.60327145925238612</v>
      </c>
      <c r="L13" s="101">
        <f>'# and Assessed Value of Parcels'!G8/'# and Assessed Value of Parcels'!O8</f>
        <v>0.95667319834530806</v>
      </c>
      <c r="M13" s="101">
        <f>'# and Assessed Value of Parcels'!H8/'# and Assessed Value of Parcels'!P8</f>
        <v>0.84635298341916665</v>
      </c>
      <c r="N13" s="101">
        <f t="shared" si="3"/>
        <v>0.9015130908822373</v>
      </c>
      <c r="O13" s="102">
        <f>'Tax Levies and EQ Tax Rates'!I8</f>
        <v>15812581.220000001</v>
      </c>
      <c r="P13" s="102">
        <f t="shared" si="4"/>
        <v>14255248.97046862</v>
      </c>
      <c r="Q13" s="103">
        <v>12748</v>
      </c>
      <c r="R13" s="119">
        <f t="shared" si="8"/>
        <v>1118.2341520606071</v>
      </c>
    </row>
    <row r="14" spans="1:28" ht="15.75" x14ac:dyDescent="0.25">
      <c r="A14" s="95" t="s">
        <v>27</v>
      </c>
      <c r="B14" s="96" t="s">
        <v>56</v>
      </c>
      <c r="C14" s="97">
        <f t="shared" si="5"/>
        <v>2462.9176044768583</v>
      </c>
      <c r="D14" s="99">
        <f t="shared" si="0"/>
        <v>335709.18243034289</v>
      </c>
      <c r="E14" s="18">
        <f t="shared" si="6"/>
        <v>421789.5</v>
      </c>
      <c r="F14" s="115">
        <v>468655</v>
      </c>
      <c r="G14" s="129">
        <f t="shared" si="1"/>
        <v>132945.81756965711</v>
      </c>
      <c r="H14" s="123">
        <f t="shared" si="7"/>
        <v>413520.3</v>
      </c>
      <c r="I14" s="116">
        <v>459467</v>
      </c>
      <c r="J14" s="123">
        <f t="shared" si="2"/>
        <v>123757.81756965711</v>
      </c>
      <c r="K14" s="130">
        <v>0.73364618347545341</v>
      </c>
      <c r="L14" s="101">
        <f>'# and Assessed Value of Parcels'!G9/'# and Assessed Value of Parcels'!O9</f>
        <v>0.91940211019929663</v>
      </c>
      <c r="M14" s="101">
        <f>'# and Assessed Value of Parcels'!H9/'# and Assessed Value of Parcels'!P9</f>
        <v>0.75552222177542272</v>
      </c>
      <c r="N14" s="101">
        <f t="shared" si="3"/>
        <v>0.83746216598735967</v>
      </c>
      <c r="O14" s="102">
        <f>'Tax Levies and EQ Tax Rates'!I9</f>
        <v>15687741</v>
      </c>
      <c r="P14" s="102">
        <f t="shared" si="4"/>
        <v>13137889.557308707</v>
      </c>
      <c r="Q14" s="103">
        <v>11282</v>
      </c>
      <c r="R14" s="119">
        <f t="shared" si="8"/>
        <v>1164.5000493980417</v>
      </c>
    </row>
    <row r="15" spans="1:28" ht="15.75" x14ac:dyDescent="0.25">
      <c r="A15" s="95" t="s">
        <v>57</v>
      </c>
      <c r="B15" s="96" t="s">
        <v>58</v>
      </c>
      <c r="C15" s="97">
        <f t="shared" si="5"/>
        <v>826.66019123505964</v>
      </c>
      <c r="D15" s="99">
        <f t="shared" si="0"/>
        <v>211875.23063872309</v>
      </c>
      <c r="E15" s="18">
        <f t="shared" si="6"/>
        <v>419752.94835841306</v>
      </c>
      <c r="F15" s="115">
        <v>466392.1648426812</v>
      </c>
      <c r="G15" s="129">
        <f t="shared" si="1"/>
        <v>254516.93420395811</v>
      </c>
      <c r="H15" s="123">
        <f t="shared" si="7"/>
        <v>276152.40000000002</v>
      </c>
      <c r="I15" s="116">
        <v>306836</v>
      </c>
      <c r="J15" s="123">
        <f t="shared" si="2"/>
        <v>94960.769361276907</v>
      </c>
      <c r="K15" s="130">
        <v>0.39016367734113805</v>
      </c>
      <c r="L15" s="101">
        <f>'# and Assessed Value of Parcels'!G10/'# and Assessed Value of Parcels'!O10</f>
        <v>0.96040113139624583</v>
      </c>
      <c r="M15" s="101">
        <f>'# and Assessed Value of Parcels'!H10/'# and Assessed Value of Parcels'!P10</f>
        <v>0.85301721781778006</v>
      </c>
      <c r="N15" s="101">
        <f t="shared" si="3"/>
        <v>0.90670917460701295</v>
      </c>
      <c r="O15" s="102">
        <f>'Tax Levies and EQ Tax Rates'!I10</f>
        <v>5518999.9199999999</v>
      </c>
      <c r="P15" s="102">
        <f t="shared" si="4"/>
        <v>5004127.8621193701</v>
      </c>
      <c r="Q15" s="103">
        <v>12803</v>
      </c>
      <c r="R15" s="119">
        <f t="shared" si="8"/>
        <v>390.85588238064281</v>
      </c>
    </row>
    <row r="16" spans="1:28" ht="15.75" x14ac:dyDescent="0.25">
      <c r="A16" s="95" t="s">
        <v>57</v>
      </c>
      <c r="B16" s="96" t="s">
        <v>59</v>
      </c>
      <c r="C16" s="97">
        <f t="shared" si="5"/>
        <v>1058.1905646404507</v>
      </c>
      <c r="D16" s="99">
        <f t="shared" si="0"/>
        <v>280268.22733673226</v>
      </c>
      <c r="E16" s="18">
        <f t="shared" si="6"/>
        <v>98414.399999999994</v>
      </c>
      <c r="F16" s="115">
        <v>109349.33333333333</v>
      </c>
      <c r="G16" s="129">
        <f t="shared" si="1"/>
        <v>-170918.89400339895</v>
      </c>
      <c r="H16" s="123">
        <f t="shared" si="7"/>
        <v>333705.60000000003</v>
      </c>
      <c r="I16" s="116">
        <v>370784</v>
      </c>
      <c r="J16" s="123">
        <f t="shared" si="2"/>
        <v>90515.772663267737</v>
      </c>
      <c r="K16" s="130">
        <v>0.37756351288762841</v>
      </c>
      <c r="L16" s="101">
        <f>'# and Assessed Value of Parcels'!G11/'# and Assessed Value of Parcels'!O11</f>
        <v>0.9585129938235637</v>
      </c>
      <c r="M16" s="101">
        <f>'# and Assessed Value of Parcels'!H11/'# and Assessed Value of Parcels'!P11</f>
        <v>0.91282274937277808</v>
      </c>
      <c r="N16" s="101">
        <f t="shared" si="3"/>
        <v>0.93566787159817089</v>
      </c>
      <c r="O16" s="102">
        <f>'Tax Levies and EQ Tax Rates'!I11</f>
        <v>13099197.74</v>
      </c>
      <c r="P16" s="102">
        <f t="shared" si="4"/>
        <v>12256498.469029371</v>
      </c>
      <c r="Q16" s="103">
        <v>24497</v>
      </c>
      <c r="R16" s="119">
        <f t="shared" si="8"/>
        <v>500.32650810423195</v>
      </c>
    </row>
    <row r="17" spans="1:18" ht="15.75" x14ac:dyDescent="0.25">
      <c r="A17" s="95" t="s">
        <v>57</v>
      </c>
      <c r="B17" s="96" t="s">
        <v>60</v>
      </c>
      <c r="C17" s="97">
        <f t="shared" si="5"/>
        <v>1150.3519900852864</v>
      </c>
      <c r="D17" s="99">
        <f t="shared" si="0"/>
        <v>113467.84466927811</v>
      </c>
      <c r="E17" s="18">
        <f t="shared" si="6"/>
        <v>84516.074999999997</v>
      </c>
      <c r="F17" s="115">
        <v>93906.75</v>
      </c>
      <c r="G17" s="129">
        <f t="shared" si="1"/>
        <v>-19561.094669278114</v>
      </c>
      <c r="H17" s="123">
        <f t="shared" si="7"/>
        <v>149680.80000000002</v>
      </c>
      <c r="I17" s="116">
        <v>166312</v>
      </c>
      <c r="J17" s="123">
        <f t="shared" si="2"/>
        <v>52844.155330721886</v>
      </c>
      <c r="K17" s="130">
        <v>1.0138132027079465</v>
      </c>
      <c r="L17" s="101">
        <f>'# and Assessed Value of Parcels'!G12/'# and Assessed Value of Parcels'!O12</f>
        <v>0.9812830932151213</v>
      </c>
      <c r="M17" s="101">
        <f>'# and Assessed Value of Parcels'!H12/'# and Assessed Value of Parcels'!P12</f>
        <v>0.9332896028243699</v>
      </c>
      <c r="N17" s="101">
        <f t="shared" si="3"/>
        <v>0.95728634801974555</v>
      </c>
      <c r="O17" s="102">
        <f>'Tax Levies and EQ Tax Rates'!I12</f>
        <v>15285484.98</v>
      </c>
      <c r="P17" s="102">
        <f t="shared" si="4"/>
        <v>14632586.094214873</v>
      </c>
      <c r="Q17" s="103">
        <v>26903</v>
      </c>
      <c r="R17" s="119">
        <f t="shared" si="8"/>
        <v>543.90165015852779</v>
      </c>
    </row>
    <row r="18" spans="1:18" ht="15.75" x14ac:dyDescent="0.25">
      <c r="A18" s="95" t="s">
        <v>57</v>
      </c>
      <c r="B18" s="96" t="s">
        <v>61</v>
      </c>
      <c r="C18" s="97">
        <f t="shared" si="5"/>
        <v>814.63874449031914</v>
      </c>
      <c r="D18" s="99">
        <f t="shared" si="0"/>
        <v>240123.99242608066</v>
      </c>
      <c r="E18" s="18">
        <f t="shared" si="6"/>
        <v>118318.545</v>
      </c>
      <c r="F18" s="115">
        <v>131465.04999999999</v>
      </c>
      <c r="G18" s="129">
        <f t="shared" si="1"/>
        <v>-108658.94242608067</v>
      </c>
      <c r="H18" s="123">
        <f t="shared" si="7"/>
        <v>214680.6</v>
      </c>
      <c r="I18" s="116">
        <v>238534</v>
      </c>
      <c r="J18" s="123">
        <f t="shared" si="2"/>
        <v>-1589.9924260806583</v>
      </c>
      <c r="K18" s="130">
        <v>0.33925753784936591</v>
      </c>
      <c r="L18" s="101">
        <f>'# and Assessed Value of Parcels'!G13/'# and Assessed Value of Parcels'!O13</f>
        <v>0.96051204165762638</v>
      </c>
      <c r="M18" s="101">
        <f>'# and Assessed Value of Parcels'!H13/'# and Assessed Value of Parcels'!P13</f>
        <v>0.90183161244513477</v>
      </c>
      <c r="N18" s="101">
        <f t="shared" si="3"/>
        <v>0.93117182705138057</v>
      </c>
      <c r="O18" s="102">
        <f>'Tax Levies and EQ Tax Rates'!I13</f>
        <v>4267546.8</v>
      </c>
      <c r="P18" s="102">
        <f t="shared" si="4"/>
        <v>3973819.3507832726</v>
      </c>
      <c r="Q18" s="103">
        <v>10317</v>
      </c>
      <c r="R18" s="119">
        <f t="shared" si="8"/>
        <v>385.17198321055275</v>
      </c>
    </row>
    <row r="19" spans="1:18" ht="15.75" x14ac:dyDescent="0.25">
      <c r="A19" s="95" t="s">
        <v>62</v>
      </c>
      <c r="B19" s="96" t="s">
        <v>63</v>
      </c>
      <c r="C19" s="97">
        <f t="shared" si="5"/>
        <v>722.12569241201049</v>
      </c>
      <c r="D19" s="99">
        <f t="shared" si="0"/>
        <v>189721.80716631844</v>
      </c>
      <c r="E19" s="18">
        <f t="shared" si="6"/>
        <v>88758.307894736849</v>
      </c>
      <c r="F19" s="115">
        <v>98620.34210526316</v>
      </c>
      <c r="G19" s="129">
        <f t="shared" si="1"/>
        <v>-91101.465061055278</v>
      </c>
      <c r="H19" s="123">
        <f t="shared" si="7"/>
        <v>106640.1</v>
      </c>
      <c r="I19" s="116">
        <v>118489</v>
      </c>
      <c r="J19" s="123">
        <f t="shared" si="2"/>
        <v>-71232.807166318438</v>
      </c>
      <c r="K19" s="130">
        <v>0.38062345241048834</v>
      </c>
      <c r="L19" s="101">
        <f>'# and Assessed Value of Parcels'!G14/'# and Assessed Value of Parcels'!O14</f>
        <v>0.94935451837140017</v>
      </c>
      <c r="M19" s="101">
        <f>'# and Assessed Value of Parcels'!H14/'# and Assessed Value of Parcels'!P14</f>
        <v>0.95309491622629139</v>
      </c>
      <c r="N19" s="101">
        <f t="shared" si="3"/>
        <v>0.95122471729884572</v>
      </c>
      <c r="O19" s="102">
        <f>'Tax Levies and EQ Tax Rates'!I14</f>
        <v>502154.1</v>
      </c>
      <c r="P19" s="102">
        <f t="shared" si="4"/>
        <v>477661.39181295631</v>
      </c>
      <c r="Q19" s="103">
        <v>1399</v>
      </c>
      <c r="R19" s="119">
        <f t="shared" si="8"/>
        <v>341.43058742884654</v>
      </c>
    </row>
    <row r="20" spans="1:18" ht="15.75" x14ac:dyDescent="0.25">
      <c r="A20" s="95" t="s">
        <v>62</v>
      </c>
      <c r="B20" s="120" t="s">
        <v>64</v>
      </c>
      <c r="C20" s="97">
        <f t="shared" si="5"/>
        <v>484.76875036465282</v>
      </c>
      <c r="D20" s="99">
        <f t="shared" si="0"/>
        <v>99175.029134186538</v>
      </c>
      <c r="E20" s="18">
        <f t="shared" si="6"/>
        <v>78351.891428571442</v>
      </c>
      <c r="F20" s="115">
        <v>87057.657142857148</v>
      </c>
      <c r="G20" s="129">
        <f t="shared" si="1"/>
        <v>-12117.37199132939</v>
      </c>
      <c r="H20" s="123">
        <f t="shared" si="7"/>
        <v>128558.7</v>
      </c>
      <c r="I20" s="116">
        <v>142843</v>
      </c>
      <c r="J20" s="123">
        <f t="shared" si="2"/>
        <v>43667.970865813462</v>
      </c>
      <c r="K20" s="130">
        <v>0.48880121800493487</v>
      </c>
      <c r="L20" s="101">
        <f>'# and Assessed Value of Parcels'!G15/'# and Assessed Value of Parcels'!O15</f>
        <v>0.95576808129109381</v>
      </c>
      <c r="M20" s="101">
        <f>'# and Assessed Value of Parcels'!H15/'# and Assessed Value of Parcels'!P15</f>
        <v>0.9003796958191036</v>
      </c>
      <c r="N20" s="101">
        <f t="shared" si="3"/>
        <v>0.92807388855509876</v>
      </c>
      <c r="O20" s="102">
        <f>'Tax Levies and EQ Tax Rates'!I15</f>
        <v>1369687.7</v>
      </c>
      <c r="P20" s="102">
        <f t="shared" si="4"/>
        <v>1271171.3898450895</v>
      </c>
      <c r="Q20" s="103">
        <v>5546</v>
      </c>
      <c r="R20" s="119">
        <f t="shared" si="8"/>
        <v>229.20508291472945</v>
      </c>
    </row>
    <row r="21" spans="1:18" ht="15.75" customHeight="1" x14ac:dyDescent="0.25">
      <c r="A21" s="95" t="s">
        <v>62</v>
      </c>
      <c r="B21" s="96" t="s">
        <v>65</v>
      </c>
      <c r="C21" s="97">
        <f t="shared" si="5"/>
        <v>799.85434858074962</v>
      </c>
      <c r="D21" s="99">
        <f t="shared" si="0"/>
        <v>146698.24175135736</v>
      </c>
      <c r="E21" s="18">
        <f t="shared" si="6"/>
        <v>32476.5</v>
      </c>
      <c r="F21" s="115">
        <v>36085</v>
      </c>
      <c r="G21" s="129">
        <f t="shared" si="1"/>
        <v>-110613.24175135736</v>
      </c>
      <c r="H21" s="123">
        <f t="shared" si="7"/>
        <v>148570.20000000001</v>
      </c>
      <c r="I21" s="116">
        <v>165078</v>
      </c>
      <c r="J21" s="123">
        <f t="shared" si="2"/>
        <v>18379.75824864264</v>
      </c>
      <c r="K21" s="130">
        <v>0.54523785631762611</v>
      </c>
      <c r="L21" s="101">
        <f>'# and Assessed Value of Parcels'!G16/'# and Assessed Value of Parcels'!O16</f>
        <v>0.96660808435852374</v>
      </c>
      <c r="M21" s="101">
        <f>'# and Assessed Value of Parcels'!H16/'# and Assessed Value of Parcels'!P16</f>
        <v>0.93631576070851408</v>
      </c>
      <c r="N21" s="101">
        <f t="shared" si="3"/>
        <v>0.95146192253351891</v>
      </c>
      <c r="O21" s="102">
        <f>'Tax Levies and EQ Tax Rates'!I16</f>
        <v>1227003.3700000001</v>
      </c>
      <c r="P21" s="102">
        <f t="shared" si="4"/>
        <v>1167446.9853753068</v>
      </c>
      <c r="Q21" s="103">
        <v>3087</v>
      </c>
      <c r="R21" s="119">
        <f t="shared" si="8"/>
        <v>378.18172509728112</v>
      </c>
    </row>
    <row r="22" spans="1:18" ht="15.75" customHeight="1" x14ac:dyDescent="0.25">
      <c r="A22" s="133" t="s">
        <v>29</v>
      </c>
      <c r="B22" s="134" t="s">
        <v>64</v>
      </c>
      <c r="C22" s="135">
        <f t="shared" si="5"/>
        <v>2627.4096396455193</v>
      </c>
      <c r="D22" s="136">
        <f t="shared" si="0"/>
        <v>604315.175123511</v>
      </c>
      <c r="E22" s="18">
        <f t="shared" si="6"/>
        <v>197720.1</v>
      </c>
      <c r="F22" s="143">
        <v>219689</v>
      </c>
      <c r="G22" s="137">
        <f t="shared" si="1"/>
        <v>-384626.175123511</v>
      </c>
      <c r="H22" s="123">
        <f t="shared" si="7"/>
        <v>542896.59924115008</v>
      </c>
      <c r="I22" s="144">
        <v>603218.44360127789</v>
      </c>
      <c r="J22" s="137">
        <f t="shared" si="2"/>
        <v>-1096.731522233109</v>
      </c>
      <c r="K22" s="138">
        <v>0.43477472481284701</v>
      </c>
      <c r="L22" s="139">
        <f>'[1]# and Assessed Value of Parcels'!G17/'[1]# and Assessed Value of Parcels'!O17</f>
        <v>0.78907203907203904</v>
      </c>
      <c r="M22" s="139">
        <f>'[1]# and Assessed Value of Parcels'!H17/'[1]# and Assessed Value of Parcels'!P17</f>
        <v>0.44402101784565112</v>
      </c>
      <c r="N22" s="139">
        <f t="shared" si="3"/>
        <v>0.61654652845884506</v>
      </c>
      <c r="O22" s="140">
        <f>'[1]Tax Levies and EQ Tax Rates'!I17</f>
        <v>15861222.08</v>
      </c>
      <c r="P22" s="140">
        <f t="shared" si="4"/>
        <v>9779181.4105387814</v>
      </c>
      <c r="Q22" s="141">
        <v>7872</v>
      </c>
      <c r="R22" s="142">
        <f t="shared" si="8"/>
        <v>1242.2740612981177</v>
      </c>
    </row>
    <row r="23" spans="1:18" ht="15.75" customHeight="1" x14ac:dyDescent="0.25">
      <c r="A23" s="95" t="s">
        <v>29</v>
      </c>
      <c r="B23" s="96" t="s">
        <v>30</v>
      </c>
      <c r="C23" s="97">
        <f t="shared" si="5"/>
        <v>1185.9544215483907</v>
      </c>
      <c r="D23" s="99">
        <f t="shared" si="0"/>
        <v>70449.503050183237</v>
      </c>
      <c r="E23" s="18">
        <f t="shared" si="6"/>
        <v>148076.69999999998</v>
      </c>
      <c r="F23" s="115">
        <v>164529.66666666666</v>
      </c>
      <c r="G23" s="129">
        <f t="shared" si="1"/>
        <v>94080.16361648342</v>
      </c>
      <c r="H23" s="123">
        <f t="shared" si="7"/>
        <v>186151.5</v>
      </c>
      <c r="I23" s="116">
        <v>206835</v>
      </c>
      <c r="J23" s="123">
        <f t="shared" si="2"/>
        <v>136385.49694981676</v>
      </c>
      <c r="K23" s="130">
        <v>1.6834106277564524</v>
      </c>
      <c r="L23" s="101">
        <f>'# and Assessed Value of Parcels'!G18/'# and Assessed Value of Parcels'!O18</f>
        <v>0.84162883700821445</v>
      </c>
      <c r="M23" s="101">
        <f>'# and Assessed Value of Parcels'!H18/'# and Assessed Value of Parcels'!P18</f>
        <v>0.54365223337971258</v>
      </c>
      <c r="N23" s="101">
        <f t="shared" si="3"/>
        <v>0.69264053519396351</v>
      </c>
      <c r="O23" s="102">
        <f>'Tax Levies and EQ Tax Rates'!I18</f>
        <v>252218004</v>
      </c>
      <c r="P23" s="102">
        <f t="shared" si="4"/>
        <v>174696413.27611324</v>
      </c>
      <c r="Q23" s="103">
        <v>311549</v>
      </c>
      <c r="R23" s="119">
        <f t="shared" si="8"/>
        <v>560.73495108670943</v>
      </c>
    </row>
    <row r="24" spans="1:18" ht="15.75" customHeight="1" x14ac:dyDescent="0.25">
      <c r="A24" s="95" t="s">
        <v>66</v>
      </c>
      <c r="B24" s="96" t="s">
        <v>67</v>
      </c>
      <c r="C24" s="97">
        <f t="shared" si="5"/>
        <v>906.21177836439165</v>
      </c>
      <c r="D24" s="99">
        <f t="shared" si="0"/>
        <v>305799.70502226922</v>
      </c>
      <c r="E24" s="18">
        <f t="shared" si="6"/>
        <v>54622.35</v>
      </c>
      <c r="F24" s="115">
        <v>60691.5</v>
      </c>
      <c r="G24" s="129">
        <f t="shared" si="1"/>
        <v>-245108.20502226922</v>
      </c>
      <c r="H24" s="123">
        <f t="shared" si="7"/>
        <v>341844.3</v>
      </c>
      <c r="I24" s="116">
        <v>379827</v>
      </c>
      <c r="J24" s="123">
        <f t="shared" si="2"/>
        <v>74027.29497773078</v>
      </c>
      <c r="K24" s="130">
        <v>0.2963416129843548</v>
      </c>
      <c r="L24" s="101">
        <f>'# and Assessed Value of Parcels'!G19/'# and Assessed Value of Parcels'!O19</f>
        <v>0.96383866481223923</v>
      </c>
      <c r="M24" s="101">
        <f>'# and Assessed Value of Parcels'!H19/'# and Assessed Value of Parcels'!P19</f>
        <v>0.93906348074760293</v>
      </c>
      <c r="N24" s="101">
        <f t="shared" si="3"/>
        <v>0.95145107277992103</v>
      </c>
      <c r="O24" s="102">
        <f>'Tax Levies and EQ Tax Rates'!I19</f>
        <v>2789807.14</v>
      </c>
      <c r="P24" s="102">
        <f t="shared" si="4"/>
        <v>2654364.9962020833</v>
      </c>
      <c r="Q24" s="103">
        <v>6195</v>
      </c>
      <c r="R24" s="119">
        <f t="shared" si="8"/>
        <v>428.46892594061069</v>
      </c>
    </row>
    <row r="25" spans="1:18" ht="15.75" customHeight="1" x14ac:dyDescent="0.25">
      <c r="A25" s="95" t="s">
        <v>31</v>
      </c>
      <c r="B25" s="96" t="s">
        <v>32</v>
      </c>
      <c r="C25" s="97">
        <f t="shared" si="5"/>
        <v>1665.6928450972614</v>
      </c>
      <c r="D25" s="99">
        <f t="shared" si="0"/>
        <v>288005.38600182394</v>
      </c>
      <c r="E25" s="18">
        <f t="shared" si="6"/>
        <v>205367.25</v>
      </c>
      <c r="F25" s="115">
        <v>228185.83333333334</v>
      </c>
      <c r="G25" s="129">
        <f t="shared" si="1"/>
        <v>-59819.552668490593</v>
      </c>
      <c r="H25" s="123">
        <f t="shared" si="7"/>
        <v>342280.8</v>
      </c>
      <c r="I25" s="116">
        <v>380312</v>
      </c>
      <c r="J25" s="123">
        <f t="shared" si="2"/>
        <v>92306.613998176064</v>
      </c>
      <c r="K25" s="130">
        <v>0.5783547551734719</v>
      </c>
      <c r="L25" s="101">
        <f>'# and Assessed Value of Parcels'!G20/'# and Assessed Value of Parcels'!O20</f>
        <v>0.95667524385135538</v>
      </c>
      <c r="M25" s="101">
        <f>'# and Assessed Value of Parcels'!H20/'# and Assessed Value of Parcels'!P20</f>
        <v>0.81220548036186702</v>
      </c>
      <c r="N25" s="101">
        <f t="shared" si="3"/>
        <v>0.88444036210661126</v>
      </c>
      <c r="O25" s="102">
        <f>'Tax Levies and EQ Tax Rates'!I20</f>
        <v>44269379.890000001</v>
      </c>
      <c r="P25" s="102">
        <f t="shared" si="4"/>
        <v>39153626.380146734</v>
      </c>
      <c r="Q25" s="103">
        <v>49715</v>
      </c>
      <c r="R25" s="119">
        <f t="shared" si="8"/>
        <v>787.561628887594</v>
      </c>
    </row>
    <row r="26" spans="1:18" ht="15.75" customHeight="1" x14ac:dyDescent="0.25">
      <c r="A26" s="95" t="s">
        <v>31</v>
      </c>
      <c r="B26" s="96" t="s">
        <v>33</v>
      </c>
      <c r="C26" s="97">
        <f t="shared" si="5"/>
        <v>1111.6057831711994</v>
      </c>
      <c r="D26" s="99">
        <f t="shared" si="0"/>
        <v>251660.72541408916</v>
      </c>
      <c r="E26" s="18">
        <f t="shared" si="6"/>
        <v>118017.64285714287</v>
      </c>
      <c r="F26" s="115">
        <v>131130.71428571429</v>
      </c>
      <c r="G26" s="129">
        <f t="shared" si="1"/>
        <v>-120530.01112837487</v>
      </c>
      <c r="H26" s="123">
        <f t="shared" si="7"/>
        <v>337972.5</v>
      </c>
      <c r="I26" s="116">
        <v>375525</v>
      </c>
      <c r="J26" s="123">
        <f t="shared" si="2"/>
        <v>123864.27458591084</v>
      </c>
      <c r="K26" s="130">
        <v>0.44170808986667826</v>
      </c>
      <c r="L26" s="101">
        <f>'# and Assessed Value of Parcels'!G21/'# and Assessed Value of Parcels'!O21</f>
        <v>0.97122792306482886</v>
      </c>
      <c r="M26" s="101">
        <f>'# and Assessed Value of Parcels'!H21/'# and Assessed Value of Parcels'!P21</f>
        <v>0.88589383044965919</v>
      </c>
      <c r="N26" s="101">
        <f t="shared" si="3"/>
        <v>0.92856087675724397</v>
      </c>
      <c r="O26" s="102">
        <f>'Tax Levies and EQ Tax Rates'!I21</f>
        <v>37853002.5</v>
      </c>
      <c r="P26" s="102">
        <f t="shared" si="4"/>
        <v>35148817.189294145</v>
      </c>
      <c r="Q26" s="103">
        <v>66876</v>
      </c>
      <c r="R26" s="119">
        <f t="shared" si="8"/>
        <v>525.58193057739913</v>
      </c>
    </row>
    <row r="27" spans="1:18" ht="15.75" customHeight="1" x14ac:dyDescent="0.25">
      <c r="A27" s="95" t="s">
        <v>31</v>
      </c>
      <c r="B27" s="96" t="s">
        <v>34</v>
      </c>
      <c r="C27" s="97">
        <f t="shared" si="5"/>
        <v>1756.7626829813833</v>
      </c>
      <c r="D27" s="99">
        <f t="shared" si="0"/>
        <v>216217.56706983864</v>
      </c>
      <c r="E27" s="18">
        <f t="shared" si="6"/>
        <v>275471.83124999999</v>
      </c>
      <c r="F27" s="115">
        <v>306079.8125</v>
      </c>
      <c r="G27" s="129">
        <f t="shared" si="1"/>
        <v>89862.245430161362</v>
      </c>
      <c r="H27" s="123">
        <f t="shared" si="7"/>
        <v>292394.7</v>
      </c>
      <c r="I27" s="116">
        <v>324883</v>
      </c>
      <c r="J27" s="123">
        <f t="shared" si="2"/>
        <v>108665.43293016136</v>
      </c>
      <c r="K27" s="130">
        <v>0.81249766463885231</v>
      </c>
      <c r="L27" s="101">
        <f>'# and Assessed Value of Parcels'!G22/'# and Assessed Value of Parcels'!O22</f>
        <v>0.92460317460317465</v>
      </c>
      <c r="M27" s="101">
        <f>'# and Assessed Value of Parcels'!H22/'# and Assessed Value of Parcels'!P22</f>
        <v>0.82398227250676292</v>
      </c>
      <c r="N27" s="101">
        <f t="shared" si="3"/>
        <v>0.87429272355496879</v>
      </c>
      <c r="O27" s="102">
        <f>'Tax Levies and EQ Tax Rates'!I22</f>
        <v>13904912.58</v>
      </c>
      <c r="P27" s="102">
        <f t="shared" si="4"/>
        <v>12156963.890361948</v>
      </c>
      <c r="Q27" s="103">
        <v>14636</v>
      </c>
      <c r="R27" s="119">
        <f t="shared" si="8"/>
        <v>830.62065389190684</v>
      </c>
    </row>
    <row r="28" spans="1:18" ht="15.75" customHeight="1" x14ac:dyDescent="0.25">
      <c r="A28" s="95" t="s">
        <v>31</v>
      </c>
      <c r="B28" s="96" t="s">
        <v>35</v>
      </c>
      <c r="C28" s="97">
        <f t="shared" si="5"/>
        <v>1503.1294277214668</v>
      </c>
      <c r="D28" s="99">
        <f t="shared" si="0"/>
        <v>222442.0750214741</v>
      </c>
      <c r="E28" s="18">
        <f t="shared" si="6"/>
        <v>187807.57199999999</v>
      </c>
      <c r="F28" s="115">
        <v>208675.08</v>
      </c>
      <c r="G28" s="129">
        <f t="shared" si="1"/>
        <v>-13766.995021474111</v>
      </c>
      <c r="H28" s="123">
        <f t="shared" si="7"/>
        <v>297859.5</v>
      </c>
      <c r="I28" s="116">
        <v>330955</v>
      </c>
      <c r="J28" s="123">
        <f t="shared" si="2"/>
        <v>108512.9249785259</v>
      </c>
      <c r="K28" s="130">
        <v>0.67573970777621895</v>
      </c>
      <c r="L28" s="101">
        <f>'# and Assessed Value of Parcels'!G23/'# and Assessed Value of Parcels'!O23</f>
        <v>0.96279666452854396</v>
      </c>
      <c r="M28" s="101">
        <f>'# and Assessed Value of Parcels'!H23/'# and Assessed Value of Parcels'!P23</f>
        <v>0.85286917759426784</v>
      </c>
      <c r="N28" s="101">
        <f t="shared" si="3"/>
        <v>0.9078329210614059</v>
      </c>
      <c r="O28" s="102">
        <f>'Tax Levies and EQ Tax Rates'!I23</f>
        <v>35498457.659999996</v>
      </c>
      <c r="P28" s="102">
        <f t="shared" si="4"/>
        <v>32226668.510652438</v>
      </c>
      <c r="Q28" s="103">
        <v>45345</v>
      </c>
      <c r="R28" s="119">
        <f t="shared" si="8"/>
        <v>710.69949301251381</v>
      </c>
    </row>
    <row r="29" spans="1:18" ht="15.75" customHeight="1" x14ac:dyDescent="0.25">
      <c r="A29" s="95" t="s">
        <v>31</v>
      </c>
      <c r="B29" s="96" t="s">
        <v>36</v>
      </c>
      <c r="C29" s="97">
        <f t="shared" si="5"/>
        <v>1291.0269065040518</v>
      </c>
      <c r="D29" s="99">
        <f t="shared" si="0"/>
        <v>182970.34497864445</v>
      </c>
      <c r="E29" s="18">
        <f t="shared" si="6"/>
        <v>147122.69999999998</v>
      </c>
      <c r="F29" s="115">
        <v>163469.66666666666</v>
      </c>
      <c r="G29" s="129">
        <f t="shared" si="1"/>
        <v>-19500.678311977797</v>
      </c>
      <c r="H29" s="123">
        <f t="shared" si="7"/>
        <v>264123</v>
      </c>
      <c r="I29" s="116">
        <v>293470</v>
      </c>
      <c r="J29" s="123">
        <f t="shared" si="2"/>
        <v>110499.65502135555</v>
      </c>
      <c r="K29" s="130">
        <v>0.70559352481667736</v>
      </c>
      <c r="L29" s="101">
        <f>'# and Assessed Value of Parcels'!G24/'# and Assessed Value of Parcels'!O24</f>
        <v>0.95376862401402274</v>
      </c>
      <c r="M29" s="101">
        <f>'# and Assessed Value of Parcels'!H24/'# and Assessed Value of Parcels'!P24</f>
        <v>0.87694473065069911</v>
      </c>
      <c r="N29" s="101">
        <f t="shared" si="3"/>
        <v>0.91535667733236092</v>
      </c>
      <c r="O29" s="102">
        <f>'Tax Levies and EQ Tax Rates'!I24</f>
        <v>10748447</v>
      </c>
      <c r="P29" s="102">
        <f t="shared" si="4"/>
        <v>9838662.7324029822</v>
      </c>
      <c r="Q29" s="103">
        <v>16118</v>
      </c>
      <c r="R29" s="119">
        <f t="shared" si="8"/>
        <v>610.41461300427977</v>
      </c>
    </row>
    <row r="30" spans="1:18" ht="15.75" customHeight="1" x14ac:dyDescent="0.25">
      <c r="A30" s="95" t="s">
        <v>31</v>
      </c>
      <c r="B30" s="96" t="s">
        <v>37</v>
      </c>
      <c r="C30" s="97">
        <f t="shared" si="5"/>
        <v>1776.3674722177955</v>
      </c>
      <c r="D30" s="99">
        <f t="shared" si="0"/>
        <v>214867.96270418161</v>
      </c>
      <c r="E30" s="18">
        <f t="shared" si="6"/>
        <v>209555.70346820808</v>
      </c>
      <c r="F30" s="115">
        <v>232839.67052023122</v>
      </c>
      <c r="G30" s="129">
        <f t="shared" si="1"/>
        <v>17971.707816049602</v>
      </c>
      <c r="H30" s="123">
        <f t="shared" si="7"/>
        <v>276858</v>
      </c>
      <c r="I30" s="116">
        <v>307620</v>
      </c>
      <c r="J30" s="123">
        <f t="shared" si="2"/>
        <v>92752.037295818387</v>
      </c>
      <c r="K30" s="130">
        <v>0.82672514313518219</v>
      </c>
      <c r="L30" s="101">
        <f>'# and Assessed Value of Parcels'!G25/'# and Assessed Value of Parcels'!O25</f>
        <v>0.95527753810756399</v>
      </c>
      <c r="M30" s="101">
        <f>'# and Assessed Value of Parcels'!H25/'# and Assessed Value of Parcels'!P25</f>
        <v>0.7164271010805654</v>
      </c>
      <c r="N30" s="101">
        <f t="shared" si="3"/>
        <v>0.8358523195940647</v>
      </c>
      <c r="O30" s="102">
        <f>'Tax Levies and EQ Tax Rates'!I25</f>
        <v>104139647.23</v>
      </c>
      <c r="P30" s="102">
        <f t="shared" si="4"/>
        <v>87045365.698903114</v>
      </c>
      <c r="Q30" s="103">
        <v>103639</v>
      </c>
      <c r="R30" s="119">
        <f t="shared" si="8"/>
        <v>839.89005778619162</v>
      </c>
    </row>
    <row r="31" spans="1:18" ht="15.75" customHeight="1" x14ac:dyDescent="0.25">
      <c r="A31" s="95" t="s">
        <v>38</v>
      </c>
      <c r="B31" s="96" t="s">
        <v>39</v>
      </c>
      <c r="C31" s="97">
        <f t="shared" si="5"/>
        <v>2412.8079987624933</v>
      </c>
      <c r="D31" s="99">
        <f t="shared" si="0"/>
        <v>128770.1441785271</v>
      </c>
      <c r="E31" s="18">
        <f t="shared" si="6"/>
        <v>121246.875</v>
      </c>
      <c r="F31" s="115">
        <v>134718.75</v>
      </c>
      <c r="G31" s="129">
        <f t="shared" si="1"/>
        <v>5948.6058214728982</v>
      </c>
      <c r="H31" s="123">
        <f t="shared" si="7"/>
        <v>165501.9</v>
      </c>
      <c r="I31" s="116">
        <v>183891</v>
      </c>
      <c r="J31" s="123">
        <f t="shared" si="2"/>
        <v>55120.855821472898</v>
      </c>
      <c r="K31" s="130">
        <v>1.8737324666013986</v>
      </c>
      <c r="L31" s="101">
        <f>'# and Assessed Value of Parcels'!G26/'# and Assessed Value of Parcels'!O26</f>
        <v>0.96441281138790036</v>
      </c>
      <c r="M31" s="101">
        <f>'# and Assessed Value of Parcels'!H26/'# and Assessed Value of Parcels'!P26</f>
        <v>0.88303144331890093</v>
      </c>
      <c r="N31" s="101">
        <f t="shared" si="3"/>
        <v>0.92372212735340065</v>
      </c>
      <c r="O31" s="102">
        <f>'Tax Levies and EQ Tax Rates'!I26</f>
        <v>12047538.390000001</v>
      </c>
      <c r="P31" s="102">
        <f t="shared" si="4"/>
        <v>11128577.790982563</v>
      </c>
      <c r="Q31" s="103">
        <v>9755</v>
      </c>
      <c r="R31" s="119">
        <f t="shared" si="8"/>
        <v>1140.8075644267108</v>
      </c>
    </row>
    <row r="32" spans="1:18" ht="15.75" customHeight="1" x14ac:dyDescent="0.25">
      <c r="A32" s="95" t="s">
        <v>38</v>
      </c>
      <c r="B32" s="96" t="s">
        <v>40</v>
      </c>
      <c r="C32" s="97">
        <f t="shared" si="5"/>
        <v>1222.3771040756449</v>
      </c>
      <c r="D32" s="99">
        <f t="shared" si="0"/>
        <v>366286.75351300754</v>
      </c>
      <c r="E32" s="18">
        <f t="shared" si="6"/>
        <v>262856.25</v>
      </c>
      <c r="F32" s="115">
        <v>292062.5</v>
      </c>
      <c r="G32" s="129">
        <f t="shared" si="1"/>
        <v>-74224.253513007541</v>
      </c>
      <c r="H32" s="123">
        <f t="shared" si="7"/>
        <v>432438.3</v>
      </c>
      <c r="I32" s="116">
        <v>480487</v>
      </c>
      <c r="J32" s="123">
        <f t="shared" si="2"/>
        <v>114200.24648699246</v>
      </c>
      <c r="K32" s="130">
        <v>0.33372135146903037</v>
      </c>
      <c r="L32" s="101">
        <f>'# and Assessed Value of Parcels'!G27/'# and Assessed Value of Parcels'!O27</f>
        <v>0.97272104180945851</v>
      </c>
      <c r="M32" s="101">
        <f>'# and Assessed Value of Parcels'!H27/'# and Assessed Value of Parcels'!P27</f>
        <v>0.92205750411890763</v>
      </c>
      <c r="N32" s="101">
        <f t="shared" si="3"/>
        <v>0.94738927296418307</v>
      </c>
      <c r="O32" s="102">
        <f>'Tax Levies and EQ Tax Rates'!I27</f>
        <v>24954149.290000003</v>
      </c>
      <c r="P32" s="102">
        <f t="shared" si="4"/>
        <v>23641293.353292789</v>
      </c>
      <c r="Q32" s="103">
        <v>40905</v>
      </c>
      <c r="R32" s="119">
        <f t="shared" si="8"/>
        <v>577.95607757713697</v>
      </c>
    </row>
    <row r="33" spans="1:18" ht="15.75" customHeight="1" x14ac:dyDescent="0.25">
      <c r="A33" s="95" t="s">
        <v>38</v>
      </c>
      <c r="B33" s="96" t="s">
        <v>68</v>
      </c>
      <c r="C33" s="97">
        <f t="shared" si="5"/>
        <v>1607.0203364803358</v>
      </c>
      <c r="D33" s="99">
        <f t="shared" si="0"/>
        <v>397071.62677905516</v>
      </c>
      <c r="E33" s="18">
        <f t="shared" si="6"/>
        <v>809998.92</v>
      </c>
      <c r="F33" s="115">
        <v>899998.8</v>
      </c>
      <c r="G33" s="129">
        <f t="shared" si="1"/>
        <v>502927.17322094488</v>
      </c>
      <c r="H33" s="123">
        <f t="shared" si="7"/>
        <v>487810.8</v>
      </c>
      <c r="I33" s="116">
        <v>542012</v>
      </c>
      <c r="J33" s="123">
        <f t="shared" si="2"/>
        <v>144940.37322094484</v>
      </c>
      <c r="K33" s="130">
        <v>0.4047179974847559</v>
      </c>
      <c r="L33" s="101">
        <f>'# and Assessed Value of Parcels'!G28/'# and Assessed Value of Parcels'!O28</f>
        <v>0.95530168589174802</v>
      </c>
      <c r="M33" s="101">
        <f>'# and Assessed Value of Parcels'!H28/'# and Assessed Value of Parcels'!P28</f>
        <v>0.88451081022686973</v>
      </c>
      <c r="N33" s="101">
        <f t="shared" si="3"/>
        <v>0.91990624805930887</v>
      </c>
      <c r="O33" s="102">
        <f>'Tax Levies and EQ Tax Rates'!I28</f>
        <v>22856408.080000002</v>
      </c>
      <c r="P33" s="102">
        <f t="shared" si="4"/>
        <v>21025752.600985274</v>
      </c>
      <c r="Q33" s="103">
        <v>27672</v>
      </c>
      <c r="R33" s="119">
        <f t="shared" si="8"/>
        <v>759.82049006162447</v>
      </c>
    </row>
    <row r="34" spans="1:18" ht="15.75" customHeight="1" x14ac:dyDescent="0.25">
      <c r="A34" s="95" t="s">
        <v>38</v>
      </c>
      <c r="B34" s="96" t="s">
        <v>69</v>
      </c>
      <c r="C34" s="97">
        <f t="shared" si="5"/>
        <v>5970.0096230045874</v>
      </c>
      <c r="D34" s="99">
        <f t="shared" si="0"/>
        <v>1162347.562783546</v>
      </c>
      <c r="E34" s="18">
        <f t="shared" si="6"/>
        <v>1295078.4000000001</v>
      </c>
      <c r="F34" s="115">
        <v>1438976</v>
      </c>
      <c r="G34" s="129">
        <f t="shared" si="1"/>
        <v>276628.43721645395</v>
      </c>
      <c r="H34" s="123">
        <f t="shared" si="7"/>
        <v>627586.20000000007</v>
      </c>
      <c r="I34" s="116">
        <v>697318</v>
      </c>
      <c r="J34" s="123">
        <f t="shared" si="2"/>
        <v>-465029.56278354605</v>
      </c>
      <c r="K34" s="130">
        <v>0.51361656479993245</v>
      </c>
      <c r="L34" s="101">
        <f>'# and Assessed Value of Parcels'!G29/'# and Assessed Value of Parcels'!O29</f>
        <v>0.93580470162748641</v>
      </c>
      <c r="M34" s="101">
        <f>'# and Assessed Value of Parcels'!H29/'# and Assessed Value of Parcels'!P29</f>
        <v>0.81959946110420667</v>
      </c>
      <c r="N34" s="101">
        <f t="shared" si="3"/>
        <v>0.87770208136584649</v>
      </c>
      <c r="O34" s="102">
        <f>'Tax Levies and EQ Tax Rates'!I29</f>
        <v>4660000</v>
      </c>
      <c r="P34" s="102">
        <f t="shared" si="4"/>
        <v>4090091.6991648446</v>
      </c>
      <c r="Q34" s="103">
        <v>1449</v>
      </c>
      <c r="R34" s="119">
        <f t="shared" si="8"/>
        <v>2822.6995853449585</v>
      </c>
    </row>
    <row r="35" spans="1:18" ht="15.75" customHeight="1" x14ac:dyDescent="0.25">
      <c r="A35" s="95" t="s">
        <v>70</v>
      </c>
      <c r="B35" s="96" t="s">
        <v>71</v>
      </c>
      <c r="C35" s="97">
        <f t="shared" si="5"/>
        <v>1669.2334187789015</v>
      </c>
      <c r="D35" s="99">
        <f t="shared" si="0"/>
        <v>361248.6460275065</v>
      </c>
      <c r="E35" s="18">
        <f t="shared" si="6"/>
        <v>126549.45</v>
      </c>
      <c r="F35" s="115">
        <v>140610.5</v>
      </c>
      <c r="G35" s="129">
        <f t="shared" si="1"/>
        <v>-220638.1460275065</v>
      </c>
      <c r="H35" s="123">
        <f t="shared" si="7"/>
        <v>396990.9</v>
      </c>
      <c r="I35" s="116">
        <v>441101</v>
      </c>
      <c r="J35" s="123">
        <f t="shared" si="2"/>
        <v>79852.353972493496</v>
      </c>
      <c r="K35" s="130">
        <v>0.46207326647026414</v>
      </c>
      <c r="L35" s="101">
        <f>'# and Assessed Value of Parcels'!G30/'# and Assessed Value of Parcels'!O30</f>
        <v>0.93611412622111956</v>
      </c>
      <c r="M35" s="101">
        <f>'# and Assessed Value of Parcels'!H30/'# and Assessed Value of Parcels'!P30</f>
        <v>0.80900620679671975</v>
      </c>
      <c r="N35" s="101">
        <f t="shared" si="3"/>
        <v>0.87256016650891965</v>
      </c>
      <c r="O35" s="102">
        <f>'Tax Levies and EQ Tax Rates'!I30</f>
        <v>15473379.300000001</v>
      </c>
      <c r="P35" s="102">
        <f t="shared" si="4"/>
        <v>13501454.418463672</v>
      </c>
      <c r="Q35" s="103">
        <v>17107</v>
      </c>
      <c r="R35" s="119">
        <f t="shared" si="8"/>
        <v>789.2356589971165</v>
      </c>
    </row>
    <row r="36" spans="1:18" ht="15.75" customHeight="1" x14ac:dyDescent="0.25">
      <c r="A36" s="95" t="s">
        <v>70</v>
      </c>
      <c r="B36" s="96" t="s">
        <v>72</v>
      </c>
      <c r="C36" s="97">
        <f t="shared" si="5"/>
        <v>2567.0493125539988</v>
      </c>
      <c r="D36" s="99">
        <f t="shared" si="0"/>
        <v>262381.45953370194</v>
      </c>
      <c r="E36" s="18">
        <f t="shared" si="6"/>
        <v>200134.5675</v>
      </c>
      <c r="F36" s="115">
        <v>222371.74166666667</v>
      </c>
      <c r="G36" s="129">
        <f t="shared" si="1"/>
        <v>-40009.717867035273</v>
      </c>
      <c r="H36" s="123">
        <f t="shared" si="7"/>
        <v>313180.2</v>
      </c>
      <c r="I36" s="116">
        <v>347978</v>
      </c>
      <c r="J36" s="123">
        <f t="shared" si="2"/>
        <v>85596.540466298058</v>
      </c>
      <c r="K36" s="130">
        <v>0.97836536053884959</v>
      </c>
      <c r="L36" s="101">
        <f>'# and Assessed Value of Parcels'!G31/'# and Assessed Value of Parcels'!O31</f>
        <v>0.97167216721672167</v>
      </c>
      <c r="M36" s="101">
        <f>'# and Assessed Value of Parcels'!H31/'# and Assessed Value of Parcels'!P31</f>
        <v>0.87191037944018179</v>
      </c>
      <c r="N36" s="101">
        <f t="shared" si="3"/>
        <v>0.92179127332845168</v>
      </c>
      <c r="O36" s="102">
        <f>'Tax Levies and EQ Tax Rates'!I31</f>
        <v>14371926.5</v>
      </c>
      <c r="P36" s="102">
        <f t="shared" si="4"/>
        <v>13247916.428617917</v>
      </c>
      <c r="Q36" s="103">
        <v>10915</v>
      </c>
      <c r="R36" s="119">
        <f t="shared" si="8"/>
        <v>1213.7348995527179</v>
      </c>
    </row>
    <row r="37" spans="1:18" ht="15.75" customHeight="1" x14ac:dyDescent="0.25">
      <c r="A37" s="95" t="s">
        <v>41</v>
      </c>
      <c r="B37" s="96" t="s">
        <v>73</v>
      </c>
      <c r="C37" s="97">
        <f t="shared" si="5"/>
        <v>1900.9727912121164</v>
      </c>
      <c r="D37" s="99">
        <f t="shared" si="0"/>
        <v>235235.55993507043</v>
      </c>
      <c r="E37" s="18">
        <f t="shared" si="6"/>
        <v>154213.85730337078</v>
      </c>
      <c r="F37" s="115">
        <v>171348.73033707865</v>
      </c>
      <c r="G37" s="129">
        <f t="shared" si="1"/>
        <v>-63886.829597991775</v>
      </c>
      <c r="H37" s="123">
        <f t="shared" si="7"/>
        <v>314496.90000000002</v>
      </c>
      <c r="I37" s="116">
        <v>349441</v>
      </c>
      <c r="J37" s="123">
        <f t="shared" si="2"/>
        <v>114205.44006492957</v>
      </c>
      <c r="K37" s="130">
        <v>0.80811455195669468</v>
      </c>
      <c r="L37" s="101">
        <f>'# and Assessed Value of Parcels'!G32/'# and Assessed Value of Parcels'!O32</f>
        <v>0.93861280892904597</v>
      </c>
      <c r="M37" s="101">
        <f>'# and Assessed Value of Parcels'!H32/'# and Assessed Value of Parcels'!P32</f>
        <v>0.81106844376357135</v>
      </c>
      <c r="N37" s="101">
        <f t="shared" si="3"/>
        <v>0.87484062634630866</v>
      </c>
      <c r="O37" s="102">
        <f>'Tax Levies and EQ Tax Rates'!I32</f>
        <v>13725969.970000001</v>
      </c>
      <c r="P37" s="102">
        <f t="shared" si="4"/>
        <v>12008036.165765423</v>
      </c>
      <c r="Q37" s="103">
        <v>13360</v>
      </c>
      <c r="R37" s="119">
        <f t="shared" si="8"/>
        <v>898.8051022279509</v>
      </c>
    </row>
    <row r="38" spans="1:18" ht="15.75" customHeight="1" x14ac:dyDescent="0.25">
      <c r="A38" s="95" t="s">
        <v>41</v>
      </c>
      <c r="B38" s="96" t="s">
        <v>42</v>
      </c>
      <c r="C38" s="97">
        <f t="shared" si="5"/>
        <v>1610.9745215073126</v>
      </c>
      <c r="D38" s="99">
        <f t="shared" si="0"/>
        <v>81608.688568578742</v>
      </c>
      <c r="E38" s="18">
        <f t="shared" si="6"/>
        <v>114933.708</v>
      </c>
      <c r="F38" s="115">
        <v>127704.12</v>
      </c>
      <c r="G38" s="129">
        <f t="shared" si="1"/>
        <v>46095.431431421253</v>
      </c>
      <c r="H38" s="123">
        <f t="shared" si="7"/>
        <v>233118</v>
      </c>
      <c r="I38" s="116">
        <v>259020</v>
      </c>
      <c r="J38" s="123">
        <f t="shared" si="2"/>
        <v>177411.31143142126</v>
      </c>
      <c r="K38" s="130">
        <v>1.9740232930634001</v>
      </c>
      <c r="L38" s="101">
        <f>'# and Assessed Value of Parcels'!G33/'# and Assessed Value of Parcels'!O33</f>
        <v>0.8215948144603471</v>
      </c>
      <c r="M38" s="101">
        <f>'# and Assessed Value of Parcels'!H33/'# and Assessed Value of Parcels'!P33</f>
        <v>0.65337602486817126</v>
      </c>
      <c r="N38" s="101">
        <f t="shared" si="3"/>
        <v>0.73748541966425918</v>
      </c>
      <c r="O38" s="102">
        <f>'Tax Levies and EQ Tax Rates'!I33</f>
        <v>164974488.69999999</v>
      </c>
      <c r="P38" s="102">
        <f t="shared" si="4"/>
        <v>121666280.03281608</v>
      </c>
      <c r="Q38" s="103">
        <v>159732</v>
      </c>
      <c r="R38" s="119">
        <f t="shared" si="8"/>
        <v>761.69008109092783</v>
      </c>
    </row>
    <row r="39" spans="1:18" ht="15.75" customHeight="1" x14ac:dyDescent="0.25">
      <c r="A39" s="95" t="s">
        <v>41</v>
      </c>
      <c r="B39" s="96" t="s">
        <v>43</v>
      </c>
      <c r="C39" s="97">
        <f t="shared" si="5"/>
        <v>1878.7345287304511</v>
      </c>
      <c r="D39" s="99">
        <f t="shared" si="0"/>
        <v>222377.73190300577</v>
      </c>
      <c r="E39" s="18">
        <f t="shared" si="6"/>
        <v>250180.21475409839</v>
      </c>
      <c r="F39" s="115">
        <v>277978.01639344264</v>
      </c>
      <c r="G39" s="129">
        <f t="shared" si="1"/>
        <v>55600.284490436869</v>
      </c>
      <c r="H39" s="123">
        <f t="shared" si="7"/>
        <v>267309</v>
      </c>
      <c r="I39" s="116">
        <v>297010</v>
      </c>
      <c r="J39" s="123">
        <f t="shared" si="2"/>
        <v>74632.26809699423</v>
      </c>
      <c r="K39" s="130">
        <v>0.84483932480698942</v>
      </c>
      <c r="L39" s="101">
        <f>'# and Assessed Value of Parcels'!G34/'# and Assessed Value of Parcels'!O34</f>
        <v>0.95521999479302266</v>
      </c>
      <c r="M39" s="101">
        <f>'# and Assessed Value of Parcels'!H34/'# and Assessed Value of Parcels'!P34</f>
        <v>0.87552226480698236</v>
      </c>
      <c r="N39" s="101">
        <f t="shared" si="3"/>
        <v>0.91537112980000246</v>
      </c>
      <c r="O39" s="102">
        <f>'Tax Levies and EQ Tax Rates'!I34</f>
        <v>10797816</v>
      </c>
      <c r="P39" s="102">
        <f t="shared" si="4"/>
        <v>9884009.0312925428</v>
      </c>
      <c r="Q39" s="103">
        <v>11127</v>
      </c>
      <c r="R39" s="119">
        <f t="shared" si="8"/>
        <v>888.29055731936216</v>
      </c>
    </row>
    <row r="40" spans="1:18" ht="15.75" customHeight="1" x14ac:dyDescent="0.25">
      <c r="A40" s="95" t="s">
        <v>41</v>
      </c>
      <c r="B40" s="96" t="s">
        <v>44</v>
      </c>
      <c r="C40" s="97">
        <f t="shared" si="5"/>
        <v>2123.5471511714636</v>
      </c>
      <c r="D40" s="99">
        <f t="shared" si="0"/>
        <v>358443.28272023529</v>
      </c>
      <c r="E40" s="18">
        <f t="shared" si="6"/>
        <v>137987.43692307692</v>
      </c>
      <c r="F40" s="115">
        <v>153319.37435897437</v>
      </c>
      <c r="G40" s="129">
        <f t="shared" si="1"/>
        <v>-205123.90836126092</v>
      </c>
      <c r="H40" s="123">
        <f t="shared" si="7"/>
        <v>430061.4</v>
      </c>
      <c r="I40" s="116">
        <v>477846</v>
      </c>
      <c r="J40" s="123">
        <f t="shared" si="2"/>
        <v>119402.71727976471</v>
      </c>
      <c r="K40" s="130">
        <v>0.59243602922498906</v>
      </c>
      <c r="L40" s="101">
        <f>'# and Assessed Value of Parcels'!G35/'# and Assessed Value of Parcels'!O35</f>
        <v>0.95973428121904314</v>
      </c>
      <c r="M40" s="101">
        <f>'# and Assessed Value of Parcels'!H35/'# and Assessed Value of Parcels'!P35</f>
        <v>0.74630979334649838</v>
      </c>
      <c r="N40" s="101">
        <f t="shared" si="3"/>
        <v>0.85302203728277082</v>
      </c>
      <c r="O40" s="102">
        <f>'Tax Levies and EQ Tax Rates'!I35</f>
        <v>64546529</v>
      </c>
      <c r="P40" s="102">
        <f t="shared" si="4"/>
        <v>55059611.667111449</v>
      </c>
      <c r="Q40" s="103">
        <v>54838</v>
      </c>
      <c r="R40" s="119">
        <f t="shared" si="8"/>
        <v>1004.0412062276423</v>
      </c>
    </row>
    <row r="41" spans="1:18" ht="15.75" customHeight="1" x14ac:dyDescent="0.25">
      <c r="A41" s="95" t="s">
        <v>41</v>
      </c>
      <c r="B41" s="96" t="s">
        <v>74</v>
      </c>
      <c r="C41" s="97">
        <f t="shared" si="5"/>
        <v>1977.7496224476663</v>
      </c>
      <c r="D41" s="99">
        <f t="shared" si="0"/>
        <v>256225.76190795275</v>
      </c>
      <c r="E41" s="18">
        <f t="shared" si="6"/>
        <v>267325.2</v>
      </c>
      <c r="F41" s="115">
        <v>297028</v>
      </c>
      <c r="G41" s="129">
        <f t="shared" si="1"/>
        <v>40802.23809204725</v>
      </c>
      <c r="H41" s="123">
        <f t="shared" si="7"/>
        <v>349272</v>
      </c>
      <c r="I41" s="116">
        <v>388080</v>
      </c>
      <c r="J41" s="123">
        <f t="shared" si="2"/>
        <v>131854.23809204725</v>
      </c>
      <c r="K41" s="130">
        <v>0.77187774083316352</v>
      </c>
      <c r="L41" s="101">
        <f>'# and Assessed Value of Parcels'!G36/'# and Assessed Value of Parcels'!O36</f>
        <v>0.93500511770726713</v>
      </c>
      <c r="M41" s="101">
        <f>'# and Assessed Value of Parcels'!H36/'# and Assessed Value of Parcels'!P36</f>
        <v>0.79393218764737428</v>
      </c>
      <c r="N41" s="101">
        <f t="shared" si="3"/>
        <v>0.86446865267732065</v>
      </c>
      <c r="O41" s="102">
        <f>'Tax Levies and EQ Tax Rates'!I36</f>
        <v>14585806</v>
      </c>
      <c r="P41" s="102">
        <f t="shared" si="4"/>
        <v>12608972.06103278</v>
      </c>
      <c r="Q41" s="103">
        <v>13484</v>
      </c>
      <c r="R41" s="119">
        <f t="shared" si="8"/>
        <v>935.10620446698158</v>
      </c>
    </row>
    <row r="42" spans="1:18" ht="15.75" customHeight="1" x14ac:dyDescent="0.25">
      <c r="A42" s="95" t="s">
        <v>45</v>
      </c>
      <c r="B42" s="96" t="s">
        <v>75</v>
      </c>
      <c r="C42" s="97">
        <f t="shared" si="5"/>
        <v>866.07640015317054</v>
      </c>
      <c r="D42" s="99">
        <f t="shared" si="0"/>
        <v>377151.33393094025</v>
      </c>
      <c r="E42" s="18">
        <f t="shared" si="6"/>
        <v>122398.65000000001</v>
      </c>
      <c r="F42" s="115">
        <v>135998.5</v>
      </c>
      <c r="G42" s="129">
        <f t="shared" si="1"/>
        <v>-241152.83393094025</v>
      </c>
      <c r="H42" s="123">
        <f t="shared" si="7"/>
        <v>419309.10000000003</v>
      </c>
      <c r="I42" s="116">
        <v>465899</v>
      </c>
      <c r="J42" s="123">
        <f t="shared" si="2"/>
        <v>88747.666069059749</v>
      </c>
      <c r="K42" s="130">
        <v>0.22963630835566837</v>
      </c>
      <c r="L42" s="101">
        <f>'# and Assessed Value of Parcels'!G37/'# and Assessed Value of Parcels'!O37</f>
        <v>0.96962008847254744</v>
      </c>
      <c r="M42" s="101">
        <f>'# and Assessed Value of Parcels'!H37/'# and Assessed Value of Parcels'!P37</f>
        <v>0.74155473878526956</v>
      </c>
      <c r="N42" s="101">
        <f t="shared" si="3"/>
        <v>0.85558741362890856</v>
      </c>
      <c r="O42" s="102">
        <f>'Tax Levies and EQ Tax Rates'!I37</f>
        <v>22005035.620000001</v>
      </c>
      <c r="P42" s="102">
        <f t="shared" si="4"/>
        <v>18827231.512927808</v>
      </c>
      <c r="Q42" s="103">
        <v>45977</v>
      </c>
      <c r="R42" s="119">
        <f t="shared" si="8"/>
        <v>409.49238777927678</v>
      </c>
    </row>
    <row r="43" spans="1:18" ht="15.75" customHeight="1" x14ac:dyDescent="0.25">
      <c r="A43" s="95" t="s">
        <v>45</v>
      </c>
      <c r="B43" s="96" t="s">
        <v>46</v>
      </c>
      <c r="C43" s="97">
        <f t="shared" si="5"/>
        <v>1161.5830006407402</v>
      </c>
      <c r="D43" s="99">
        <f t="shared" si="0"/>
        <v>317302.11042090837</v>
      </c>
      <c r="E43" s="18">
        <f t="shared" si="6"/>
        <v>127471.05</v>
      </c>
      <c r="F43" s="115">
        <v>141634.5</v>
      </c>
      <c r="G43" s="129">
        <f t="shared" si="1"/>
        <v>-175667.61042090837</v>
      </c>
      <c r="H43" s="123">
        <f t="shared" si="7"/>
        <v>332535.60000000003</v>
      </c>
      <c r="I43" s="116">
        <v>369484</v>
      </c>
      <c r="J43" s="123">
        <f t="shared" si="2"/>
        <v>52181.889579091629</v>
      </c>
      <c r="K43" s="130">
        <v>0.36608108250521071</v>
      </c>
      <c r="L43" s="101">
        <f>'# and Assessed Value of Parcels'!G38/'# and Assessed Value of Parcels'!O38</f>
        <v>0.966461229754909</v>
      </c>
      <c r="M43" s="101">
        <f>'# and Assessed Value of Parcels'!H38/'# and Assessed Value of Parcels'!P38</f>
        <v>0.74002784885113326</v>
      </c>
      <c r="N43" s="101">
        <f t="shared" si="3"/>
        <v>0.85324453930302113</v>
      </c>
      <c r="O43" s="102">
        <f>'Tax Levies and EQ Tax Rates'!I38</f>
        <v>44004169</v>
      </c>
      <c r="P43" s="102">
        <f t="shared" si="4"/>
        <v>37546316.905817285</v>
      </c>
      <c r="Q43" s="103">
        <v>68364</v>
      </c>
      <c r="R43" s="119">
        <f t="shared" si="8"/>
        <v>549.21182063391973</v>
      </c>
    </row>
    <row r="44" spans="1:18" ht="15.75" customHeight="1" x14ac:dyDescent="0.25">
      <c r="A44" s="95" t="s">
        <v>45</v>
      </c>
      <c r="B44" s="96" t="s">
        <v>47</v>
      </c>
      <c r="C44" s="97">
        <f t="shared" si="5"/>
        <v>1672.2136219742915</v>
      </c>
      <c r="D44" s="99">
        <f t="shared" si="0"/>
        <v>167365.51397675677</v>
      </c>
      <c r="E44" s="18">
        <f t="shared" si="6"/>
        <v>175070.63926380369</v>
      </c>
      <c r="F44" s="115">
        <v>194522.93251533742</v>
      </c>
      <c r="G44" s="129">
        <f t="shared" si="1"/>
        <v>27157.418538580649</v>
      </c>
      <c r="H44" s="123">
        <f t="shared" si="7"/>
        <v>227973.6</v>
      </c>
      <c r="I44" s="116">
        <v>253304</v>
      </c>
      <c r="J44" s="123">
        <f t="shared" si="2"/>
        <v>85938.486023243226</v>
      </c>
      <c r="K44" s="130">
        <v>0.99913870082370937</v>
      </c>
      <c r="L44" s="101">
        <f>'# and Assessed Value of Parcels'!G39/'# and Assessed Value of Parcels'!O39</f>
        <v>0.95111773472429206</v>
      </c>
      <c r="M44" s="101">
        <f>'# and Assessed Value of Parcels'!H39/'# and Assessed Value of Parcels'!P39</f>
        <v>0.86385134818830744</v>
      </c>
      <c r="N44" s="101">
        <f t="shared" si="3"/>
        <v>0.90748454145629975</v>
      </c>
      <c r="O44" s="102">
        <f>'Tax Levies and EQ Tax Rates'!I39</f>
        <v>9542787.1500000004</v>
      </c>
      <c r="P44" s="102">
        <f t="shared" si="4"/>
        <v>8659931.8210328203</v>
      </c>
      <c r="Q44" s="103">
        <v>10953</v>
      </c>
      <c r="R44" s="119">
        <f t="shared" si="8"/>
        <v>790.64473852212359</v>
      </c>
    </row>
    <row r="45" spans="1:18" ht="15.75" customHeight="1" x14ac:dyDescent="0.25">
      <c r="A45" s="95" t="s">
        <v>48</v>
      </c>
      <c r="B45" s="96" t="s">
        <v>49</v>
      </c>
      <c r="C45" s="97">
        <f t="shared" si="5"/>
        <v>2176.7129559295568</v>
      </c>
      <c r="D45" s="99">
        <f t="shared" si="0"/>
        <v>234921.24043361889</v>
      </c>
      <c r="E45" s="18">
        <f t="shared" si="6"/>
        <v>187808.14800000002</v>
      </c>
      <c r="F45" s="115">
        <v>208675.72</v>
      </c>
      <c r="G45" s="129">
        <f t="shared" si="1"/>
        <v>-26245.520433618891</v>
      </c>
      <c r="H45" s="123">
        <f t="shared" si="7"/>
        <v>294006.60000000003</v>
      </c>
      <c r="I45" s="116">
        <v>326674</v>
      </c>
      <c r="J45" s="123">
        <f t="shared" si="2"/>
        <v>91752.759566381108</v>
      </c>
      <c r="K45" s="130">
        <v>0.92657137000969703</v>
      </c>
      <c r="L45" s="101">
        <f>'# and Assessed Value of Parcels'!G40/'# and Assessed Value of Parcels'!O40</f>
        <v>0.90298507462686572</v>
      </c>
      <c r="M45" s="101">
        <f>'# and Assessed Value of Parcels'!H40/'# and Assessed Value of Parcels'!P40</f>
        <v>0.53546516271707922</v>
      </c>
      <c r="N45" s="101">
        <f t="shared" si="3"/>
        <v>0.71922511867197247</v>
      </c>
      <c r="O45" s="102">
        <f>'Tax Levies and EQ Tax Rates'!I40</f>
        <v>62587105.100000001</v>
      </c>
      <c r="P45" s="102">
        <f t="shared" si="4"/>
        <v>45014218.092882715</v>
      </c>
      <c r="Q45" s="103">
        <v>43738</v>
      </c>
      <c r="R45" s="119">
        <f t="shared" si="8"/>
        <v>1029.1787025671663</v>
      </c>
    </row>
    <row r="46" spans="1:18" ht="15.75" customHeight="1" x14ac:dyDescent="0.25">
      <c r="A46" s="95" t="s">
        <v>48</v>
      </c>
      <c r="B46" s="96" t="s">
        <v>50</v>
      </c>
      <c r="C46" s="97">
        <f t="shared" si="5"/>
        <v>2340.894765907688</v>
      </c>
      <c r="D46" s="99">
        <f t="shared" si="0"/>
        <v>175487.78317657238</v>
      </c>
      <c r="E46" s="18">
        <f t="shared" si="6"/>
        <v>237874.10294117648</v>
      </c>
      <c r="F46" s="115">
        <v>264304.5588235294</v>
      </c>
      <c r="G46" s="129">
        <f t="shared" si="1"/>
        <v>88816.775646957016</v>
      </c>
      <c r="H46" s="123">
        <f t="shared" si="7"/>
        <v>244453.5</v>
      </c>
      <c r="I46" s="116">
        <v>271615</v>
      </c>
      <c r="J46" s="123">
        <f t="shared" si="2"/>
        <v>96127.216823427618</v>
      </c>
      <c r="K46" s="130">
        <v>1.3339360287845938</v>
      </c>
      <c r="L46" s="101">
        <f>'# and Assessed Value of Parcels'!G41/'# and Assessed Value of Parcels'!O41</f>
        <v>0.94367816091954027</v>
      </c>
      <c r="M46" s="101">
        <f>'# and Assessed Value of Parcels'!H41/'# and Assessed Value of Parcels'!P41</f>
        <v>0.73460247640646714</v>
      </c>
      <c r="N46" s="101">
        <f t="shared" si="3"/>
        <v>0.83914031866300376</v>
      </c>
      <c r="O46" s="102">
        <f>'Tax Levies and EQ Tax Rates'!I41</f>
        <v>38983658</v>
      </c>
      <c r="P46" s="102">
        <f t="shared" si="4"/>
        <v>32712759.196769554</v>
      </c>
      <c r="Q46" s="103">
        <v>29556</v>
      </c>
      <c r="R46" s="119">
        <f t="shared" si="8"/>
        <v>1106.8060358901596</v>
      </c>
    </row>
    <row r="47" spans="1:18" ht="15.75" customHeight="1" x14ac:dyDescent="0.25">
      <c r="A47" s="105" t="s">
        <v>76</v>
      </c>
      <c r="B47" s="106" t="s">
        <v>77</v>
      </c>
      <c r="C47" s="107">
        <f t="shared" si="5"/>
        <v>953.66304716159925</v>
      </c>
      <c r="D47" s="109">
        <f t="shared" si="0"/>
        <v>332376.88844254991</v>
      </c>
      <c r="E47" s="18">
        <f t="shared" si="6"/>
        <v>102761.28409090909</v>
      </c>
      <c r="F47" s="147">
        <v>114179.20454545454</v>
      </c>
      <c r="G47" s="131">
        <f t="shared" si="1"/>
        <v>-218197.68389709538</v>
      </c>
      <c r="H47" s="123">
        <f t="shared" si="7"/>
        <v>216166.5</v>
      </c>
      <c r="I47" s="116">
        <v>240185</v>
      </c>
      <c r="J47" s="124">
        <f t="shared" si="2"/>
        <v>-92191.888442549913</v>
      </c>
      <c r="K47" s="132">
        <v>0.28692218993633078</v>
      </c>
      <c r="L47" s="111">
        <f>'# and Assessed Value of Parcels'!G42/'# and Assessed Value of Parcels'!O42</f>
        <v>0.95134061569016881</v>
      </c>
      <c r="M47" s="111">
        <f>'# and Assessed Value of Parcels'!H42/'# and Assessed Value of Parcels'!P42</f>
        <v>0.44542234351045923</v>
      </c>
      <c r="N47" s="111">
        <f t="shared" si="3"/>
        <v>0.69838147960031405</v>
      </c>
      <c r="O47" s="112">
        <f>'Tax Levies and EQ Tax Rates'!I42</f>
        <v>1616042.28</v>
      </c>
      <c r="P47" s="112">
        <f t="shared" si="4"/>
        <v>1128613.998603065</v>
      </c>
      <c r="Q47" s="113">
        <v>2503</v>
      </c>
      <c r="R47" s="122">
        <f t="shared" si="8"/>
        <v>450.90451402439675</v>
      </c>
    </row>
    <row r="48" spans="1:18" ht="15.75" customHeight="1" x14ac:dyDescent="0.25">
      <c r="C48" s="116">
        <f>AVERAGE(C10:C47)</f>
        <v>1694.5495568352464</v>
      </c>
      <c r="D48" s="116">
        <f t="shared" ref="D48:R48" si="9">AVERAGE(D10:D47)</f>
        <v>276383.18224117818</v>
      </c>
      <c r="E48" s="152">
        <f t="shared" si="9"/>
        <v>223680.17818509234</v>
      </c>
      <c r="F48" s="152">
        <f t="shared" si="9"/>
        <v>248533.53131676925</v>
      </c>
      <c r="G48" s="116">
        <f t="shared" si="9"/>
        <v>-27849.650924408994</v>
      </c>
      <c r="H48" s="116">
        <f t="shared" si="9"/>
        <v>310513.81840108288</v>
      </c>
      <c r="I48" s="116">
        <f t="shared" si="9"/>
        <v>345015.35377898096</v>
      </c>
      <c r="J48" s="116">
        <f t="shared" si="9"/>
        <v>68632.171537802744</v>
      </c>
      <c r="K48" s="146">
        <f t="shared" si="9"/>
        <v>0.77531690390378416</v>
      </c>
      <c r="L48" s="149">
        <f t="shared" si="9"/>
        <v>0.94289015605878534</v>
      </c>
      <c r="M48" s="149">
        <f t="shared" si="9"/>
        <v>0.80603558289215715</v>
      </c>
      <c r="N48" s="149">
        <f t="shared" si="9"/>
        <v>0.87446286947547125</v>
      </c>
      <c r="O48" s="150">
        <f t="shared" si="9"/>
        <v>31129966.096578944</v>
      </c>
      <c r="P48" s="116">
        <f t="shared" si="9"/>
        <v>25171474.147470411</v>
      </c>
      <c r="Q48" s="153">
        <f t="shared" si="9"/>
        <v>35254.131578947367</v>
      </c>
      <c r="R48" s="116">
        <f t="shared" si="9"/>
        <v>801.20546422470261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A8:B8"/>
    <mergeCell ref="C8:D8"/>
    <mergeCell ref="K8:R8"/>
    <mergeCell ref="E8:J8"/>
  </mergeCells>
  <pageMargins left="0.7" right="0.7" top="0.75" bottom="0.75" header="0" footer="0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B1000"/>
  <sheetViews>
    <sheetView workbookViewId="0">
      <selection activeCell="F2" sqref="F2"/>
    </sheetView>
  </sheetViews>
  <sheetFormatPr defaultColWidth="14.42578125" defaultRowHeight="15" customHeight="1" x14ac:dyDescent="0.25"/>
  <cols>
    <col min="1" max="2" width="20.85546875" customWidth="1"/>
    <col min="3" max="19" width="15.85546875" customWidth="1"/>
    <col min="20" max="28" width="11.42578125" customWidth="1"/>
  </cols>
  <sheetData>
    <row r="1" spans="1:28" x14ac:dyDescent="0.25">
      <c r="A1" s="19" t="s">
        <v>92</v>
      </c>
    </row>
    <row r="3" spans="1:28" x14ac:dyDescent="0.25">
      <c r="A3" s="219" t="s">
        <v>93</v>
      </c>
      <c r="B3" s="209"/>
    </row>
    <row r="4" spans="1:28" x14ac:dyDescent="0.25">
      <c r="A4" s="2" t="s">
        <v>0</v>
      </c>
      <c r="B4" s="3" t="s">
        <v>1</v>
      </c>
    </row>
    <row r="5" spans="1:28" x14ac:dyDescent="0.25">
      <c r="A5" s="4" t="s">
        <v>2</v>
      </c>
      <c r="B5" s="5">
        <v>1.575</v>
      </c>
    </row>
    <row r="6" spans="1:28" x14ac:dyDescent="0.25">
      <c r="A6" s="6" t="s">
        <v>3</v>
      </c>
      <c r="B6" s="7">
        <v>8.1000000000000003E-2</v>
      </c>
    </row>
    <row r="7" spans="1:28" ht="15.75" thickBot="1" x14ac:dyDescent="0.3">
      <c r="A7" s="8"/>
      <c r="B7" s="8"/>
    </row>
    <row r="8" spans="1:28" ht="31.5" customHeight="1" x14ac:dyDescent="0.25">
      <c r="A8" s="220" t="s">
        <v>4</v>
      </c>
      <c r="B8" s="209"/>
      <c r="C8" s="220" t="s">
        <v>94</v>
      </c>
      <c r="D8" s="221"/>
      <c r="E8" s="221"/>
      <c r="F8" s="209"/>
      <c r="G8" s="220" t="s">
        <v>6</v>
      </c>
      <c r="H8" s="223"/>
      <c r="I8" s="223"/>
      <c r="J8" s="223"/>
      <c r="K8" s="223"/>
      <c r="L8" s="224"/>
      <c r="M8" s="220" t="s">
        <v>7</v>
      </c>
      <c r="N8" s="221"/>
      <c r="O8" s="221"/>
      <c r="P8" s="221"/>
      <c r="Q8" s="221"/>
      <c r="R8" s="221"/>
      <c r="S8" s="221"/>
      <c r="T8" s="221"/>
      <c r="U8" s="221"/>
      <c r="V8" s="221"/>
      <c r="W8" s="209"/>
    </row>
    <row r="9" spans="1:28" ht="64.5" customHeight="1" thickBot="1" x14ac:dyDescent="0.3">
      <c r="A9" s="93" t="s">
        <v>8</v>
      </c>
      <c r="B9" s="10" t="s">
        <v>9</v>
      </c>
      <c r="C9" s="11" t="s">
        <v>10</v>
      </c>
      <c r="D9" s="12" t="s">
        <v>11</v>
      </c>
      <c r="E9" s="12" t="s">
        <v>12</v>
      </c>
      <c r="F9" s="16" t="s">
        <v>13</v>
      </c>
      <c r="G9" s="13" t="s">
        <v>202</v>
      </c>
      <c r="H9" s="13" t="s">
        <v>191</v>
      </c>
      <c r="I9" s="94" t="s">
        <v>192</v>
      </c>
      <c r="J9" s="14" t="s">
        <v>201</v>
      </c>
      <c r="K9" s="14" t="s">
        <v>193</v>
      </c>
      <c r="L9" s="15" t="s">
        <v>194</v>
      </c>
      <c r="M9" s="11" t="s">
        <v>14</v>
      </c>
      <c r="N9" s="12" t="s">
        <v>15</v>
      </c>
      <c r="O9" s="12" t="s">
        <v>16</v>
      </c>
      <c r="P9" s="12" t="s">
        <v>17</v>
      </c>
      <c r="Q9" s="12" t="s">
        <v>18</v>
      </c>
      <c r="R9" s="12" t="s">
        <v>19</v>
      </c>
      <c r="S9" s="14" t="s">
        <v>20</v>
      </c>
      <c r="T9" s="12" t="s">
        <v>21</v>
      </c>
      <c r="U9" s="12" t="s">
        <v>22</v>
      </c>
      <c r="V9" s="12" t="s">
        <v>23</v>
      </c>
      <c r="W9" s="16" t="s">
        <v>24</v>
      </c>
      <c r="X9" s="17"/>
      <c r="Y9" s="17"/>
      <c r="Z9" s="17"/>
      <c r="AA9" s="17"/>
      <c r="AB9" s="17"/>
    </row>
    <row r="10" spans="1:28" ht="15.75" x14ac:dyDescent="0.25">
      <c r="A10" s="95" t="s">
        <v>25</v>
      </c>
      <c r="B10" s="96" t="s">
        <v>26</v>
      </c>
      <c r="C10" s="97">
        <f t="shared" ref="C10:C27" si="0">$B$5*T10</f>
        <v>1502.255535626206</v>
      </c>
      <c r="D10" s="18">
        <f t="shared" ref="D10:D27" si="1">W10*$B$6</f>
        <v>188.34722583600549</v>
      </c>
      <c r="E10" s="18">
        <f t="shared" ref="E10:E27" si="2">C10+D10</f>
        <v>1690.6027614622114</v>
      </c>
      <c r="F10" s="99">
        <f t="shared" ref="F10:F27" si="3">E10/(M10/100)</f>
        <v>38683.676579117535</v>
      </c>
      <c r="G10" s="18">
        <f>0.5*H10</f>
        <v>30117.5</v>
      </c>
      <c r="H10" s="98">
        <v>60235</v>
      </c>
      <c r="I10" s="123">
        <f t="shared" ref="I10:I27" si="4">H10-F10</f>
        <v>21551.323420882465</v>
      </c>
      <c r="J10" s="123">
        <f>0.5*K10</f>
        <v>49181.384180217996</v>
      </c>
      <c r="K10" s="18">
        <v>98362.768360435992</v>
      </c>
      <c r="L10" s="123">
        <f t="shared" ref="L10:L27" si="5">K10-F10</f>
        <v>59679.091781318457</v>
      </c>
      <c r="M10" s="100">
        <f>'Tax Levies and EQ Tax Rates'!O5</f>
        <v>4.3703259642462298</v>
      </c>
      <c r="N10" s="101">
        <f>'# and Assessed Value of Parcels'!G5/'# and Assessed Value of Parcels'!O5</f>
        <v>0.92172812725958064</v>
      </c>
      <c r="O10" s="101">
        <f>'# and Assessed Value of Parcels'!H5/'# and Assessed Value of Parcels'!P5</f>
        <v>0.73101366343961027</v>
      </c>
      <c r="P10" s="101">
        <f t="shared" ref="P10:P27" si="6">(N10+O10)/2</f>
        <v>0.8263708953495954</v>
      </c>
      <c r="Q10" s="102">
        <f>'Tax Levies and EQ Tax Rates'!I5</f>
        <v>23810385</v>
      </c>
      <c r="R10" s="102">
        <f t="shared" ref="R10:R27" si="7">P10*Q10</f>
        <v>19676209.171068575</v>
      </c>
      <c r="S10" s="103">
        <v>20629</v>
      </c>
      <c r="T10" s="102">
        <f t="shared" ref="T10:T27" si="8">R10/S10</f>
        <v>953.81303849282926</v>
      </c>
      <c r="U10" s="102">
        <f>'Tax Levies and EQ Tax Rates'!C5</f>
        <v>10152148</v>
      </c>
      <c r="V10" s="103">
        <v>4366</v>
      </c>
      <c r="W10" s="104">
        <f t="shared" ref="W10:W27" si="9">U10/V10</f>
        <v>2325.2743930371048</v>
      </c>
    </row>
    <row r="11" spans="1:28" ht="15.75" x14ac:dyDescent="0.25">
      <c r="A11" s="95" t="s">
        <v>27</v>
      </c>
      <c r="B11" s="96" t="s">
        <v>28</v>
      </c>
      <c r="C11" s="97">
        <f t="shared" si="0"/>
        <v>1546.0273946746568</v>
      </c>
      <c r="D11" s="18">
        <f t="shared" si="1"/>
        <v>1251.0081914986854</v>
      </c>
      <c r="E11" s="18">
        <f t="shared" si="2"/>
        <v>2797.0355861733424</v>
      </c>
      <c r="F11" s="99">
        <f t="shared" si="3"/>
        <v>110139.05403646924</v>
      </c>
      <c r="G11" s="18">
        <f t="shared" ref="G11:G27" si="10">0.5*H11</f>
        <v>186862</v>
      </c>
      <c r="H11" s="98">
        <v>373724</v>
      </c>
      <c r="I11" s="123">
        <f t="shared" si="4"/>
        <v>263584.94596353074</v>
      </c>
      <c r="J11" s="123">
        <f t="shared" ref="J11:J27" si="11">0.5*K11</f>
        <v>213444.04500000001</v>
      </c>
      <c r="K11" s="18">
        <v>426888.09</v>
      </c>
      <c r="L11" s="123">
        <f t="shared" si="5"/>
        <v>316749.03596353077</v>
      </c>
      <c r="M11" s="100">
        <f>'Tax Levies and EQ Tax Rates'!O7</f>
        <v>2.5395493094095287</v>
      </c>
      <c r="N11" s="101">
        <f>'# and Assessed Value of Parcels'!G7/'# and Assessed Value of Parcels'!O7</f>
        <v>0.98144233027953953</v>
      </c>
      <c r="O11" s="101">
        <f>'# and Assessed Value of Parcels'!H7/'# and Assessed Value of Parcels'!P7</f>
        <v>0.94433258765869066</v>
      </c>
      <c r="P11" s="101">
        <f t="shared" si="6"/>
        <v>0.9628874589691151</v>
      </c>
      <c r="Q11" s="102">
        <f>'Tax Levies and EQ Tax Rates'!I7</f>
        <v>17251960.34</v>
      </c>
      <c r="R11" s="102">
        <f t="shared" si="7"/>
        <v>16611696.254018551</v>
      </c>
      <c r="S11" s="103">
        <v>16923</v>
      </c>
      <c r="T11" s="102">
        <f t="shared" si="8"/>
        <v>981.60469503152819</v>
      </c>
      <c r="U11" s="102">
        <f>'Tax Levies and EQ Tax Rates'!C7</f>
        <v>35244453</v>
      </c>
      <c r="V11" s="103">
        <v>2282</v>
      </c>
      <c r="W11" s="104">
        <f t="shared" si="9"/>
        <v>15444.545574057844</v>
      </c>
    </row>
    <row r="12" spans="1:28" ht="15.75" x14ac:dyDescent="0.25">
      <c r="A12" s="95" t="s">
        <v>29</v>
      </c>
      <c r="B12" s="96" t="s">
        <v>30</v>
      </c>
      <c r="C12" s="97">
        <f t="shared" si="0"/>
        <v>883.15754796156727</v>
      </c>
      <c r="D12" s="18">
        <f t="shared" si="1"/>
        <v>182.94483277625346</v>
      </c>
      <c r="E12" s="18">
        <f t="shared" si="2"/>
        <v>1066.1023807378208</v>
      </c>
      <c r="F12" s="99">
        <f t="shared" si="3"/>
        <v>40293.651319787095</v>
      </c>
      <c r="G12" s="18">
        <f t="shared" si="10"/>
        <v>82264.833333333328</v>
      </c>
      <c r="H12" s="98">
        <v>164529.66666666666</v>
      </c>
      <c r="I12" s="123">
        <f t="shared" si="4"/>
        <v>124236.01534687956</v>
      </c>
      <c r="J12" s="123">
        <f t="shared" si="11"/>
        <v>103417.51</v>
      </c>
      <c r="K12" s="18">
        <v>206835.02</v>
      </c>
      <c r="L12" s="123">
        <f t="shared" si="5"/>
        <v>166541.36868021288</v>
      </c>
      <c r="M12" s="100">
        <f>'Tax Levies and EQ Tax Rates'!O18</f>
        <v>2.6458321492802699</v>
      </c>
      <c r="N12" s="101">
        <f>'# and Assessed Value of Parcels'!G18/'# and Assessed Value of Parcels'!O18</f>
        <v>0.84162883700821445</v>
      </c>
      <c r="O12" s="101">
        <f>'# and Assessed Value of Parcels'!H18/'# and Assessed Value of Parcels'!P18</f>
        <v>0.54365223337971258</v>
      </c>
      <c r="P12" s="101">
        <f t="shared" si="6"/>
        <v>0.69264053519396351</v>
      </c>
      <c r="Q12" s="102">
        <f>'Tax Levies and EQ Tax Rates'!I18</f>
        <v>252218004</v>
      </c>
      <c r="R12" s="102">
        <f t="shared" si="7"/>
        <v>174696413.27611324</v>
      </c>
      <c r="S12" s="103">
        <v>311549</v>
      </c>
      <c r="T12" s="102">
        <f t="shared" si="8"/>
        <v>560.73495108670943</v>
      </c>
      <c r="U12" s="102">
        <f>'Tax Levies and EQ Tax Rates'!C18</f>
        <v>135819599</v>
      </c>
      <c r="V12" s="103">
        <v>60135</v>
      </c>
      <c r="W12" s="104">
        <f t="shared" si="9"/>
        <v>2258.578182422882</v>
      </c>
    </row>
    <row r="13" spans="1:28" ht="15.75" x14ac:dyDescent="0.25">
      <c r="A13" s="95" t="s">
        <v>31</v>
      </c>
      <c r="B13" s="96" t="s">
        <v>32</v>
      </c>
      <c r="C13" s="97">
        <f t="shared" si="0"/>
        <v>1240.4095654979606</v>
      </c>
      <c r="D13" s="18">
        <f t="shared" si="1"/>
        <v>1324.5685317507418</v>
      </c>
      <c r="E13" s="18">
        <f t="shared" si="2"/>
        <v>2564.9780972487024</v>
      </c>
      <c r="F13" s="99">
        <f t="shared" si="3"/>
        <v>107850.93402674029</v>
      </c>
      <c r="G13" s="18">
        <f t="shared" si="10"/>
        <v>114092.91666666667</v>
      </c>
      <c r="H13" s="98">
        <v>228185.83333333334</v>
      </c>
      <c r="I13" s="123">
        <f t="shared" si="4"/>
        <v>120334.89930659306</v>
      </c>
      <c r="J13" s="123">
        <f t="shared" si="11"/>
        <v>190156.24312778594</v>
      </c>
      <c r="K13" s="18">
        <v>380312.48625557189</v>
      </c>
      <c r="L13" s="123">
        <f t="shared" si="5"/>
        <v>272461.55222883157</v>
      </c>
      <c r="M13" s="100">
        <f>'Tax Levies and EQ Tax Rates'!O20</f>
        <v>2.3782622935956663</v>
      </c>
      <c r="N13" s="101">
        <f>'# and Assessed Value of Parcels'!G20/'# and Assessed Value of Parcels'!O20</f>
        <v>0.95667524385135538</v>
      </c>
      <c r="O13" s="101">
        <f>'# and Assessed Value of Parcels'!H20/'# and Assessed Value of Parcels'!P20</f>
        <v>0.81220548036186702</v>
      </c>
      <c r="P13" s="101">
        <f t="shared" si="6"/>
        <v>0.88444036210661126</v>
      </c>
      <c r="Q13" s="102">
        <f>'Tax Levies and EQ Tax Rates'!I20</f>
        <v>44269379.890000001</v>
      </c>
      <c r="R13" s="102">
        <f t="shared" si="7"/>
        <v>39153626.380146734</v>
      </c>
      <c r="S13" s="103">
        <v>49715</v>
      </c>
      <c r="T13" s="102">
        <f t="shared" si="8"/>
        <v>787.561628887594</v>
      </c>
      <c r="U13" s="102">
        <f>'Tax Levies and EQ Tax Rates'!C20</f>
        <v>137771480</v>
      </c>
      <c r="V13" s="103">
        <v>8425</v>
      </c>
      <c r="W13" s="104">
        <f t="shared" si="9"/>
        <v>16352.697922848665</v>
      </c>
    </row>
    <row r="14" spans="1:28" ht="15.75" x14ac:dyDescent="0.25">
      <c r="A14" s="95" t="s">
        <v>31</v>
      </c>
      <c r="B14" s="96" t="s">
        <v>33</v>
      </c>
      <c r="C14" s="97">
        <f t="shared" si="0"/>
        <v>827.79154065940361</v>
      </c>
      <c r="D14" s="18">
        <f t="shared" si="1"/>
        <v>1069.7262791821563</v>
      </c>
      <c r="E14" s="18">
        <f t="shared" si="2"/>
        <v>1897.5178198415599</v>
      </c>
      <c r="F14" s="99">
        <f t="shared" si="3"/>
        <v>112588.78417816774</v>
      </c>
      <c r="G14" s="18">
        <f t="shared" si="10"/>
        <v>65565.357142857145</v>
      </c>
      <c r="H14" s="98">
        <v>131130.71428571429</v>
      </c>
      <c r="I14" s="123">
        <f t="shared" si="4"/>
        <v>18541.930107546548</v>
      </c>
      <c r="J14" s="123">
        <f t="shared" si="11"/>
        <v>187762.52670499249</v>
      </c>
      <c r="K14" s="18">
        <v>375525.05340998498</v>
      </c>
      <c r="L14" s="123">
        <f t="shared" si="5"/>
        <v>262936.26923181722</v>
      </c>
      <c r="M14" s="100">
        <f>'Tax Levies and EQ Tax Rates'!O21</f>
        <v>1.6853524386930101</v>
      </c>
      <c r="N14" s="101">
        <f>'# and Assessed Value of Parcels'!G21/'# and Assessed Value of Parcels'!O21</f>
        <v>0.97122792306482886</v>
      </c>
      <c r="O14" s="101">
        <f>'# and Assessed Value of Parcels'!H21/'# and Assessed Value of Parcels'!P21</f>
        <v>0.88589383044965919</v>
      </c>
      <c r="P14" s="101">
        <f t="shared" si="6"/>
        <v>0.92856087675724397</v>
      </c>
      <c r="Q14" s="102">
        <f>'Tax Levies and EQ Tax Rates'!I21</f>
        <v>37853002.5</v>
      </c>
      <c r="R14" s="102">
        <f t="shared" si="7"/>
        <v>35148817.189294145</v>
      </c>
      <c r="S14" s="103">
        <v>66876</v>
      </c>
      <c r="T14" s="102">
        <f t="shared" si="8"/>
        <v>525.58193057739913</v>
      </c>
      <c r="U14" s="102">
        <f>'Tax Levies and EQ Tax Rates'!C21</f>
        <v>106576433</v>
      </c>
      <c r="V14" s="103">
        <v>8070</v>
      </c>
      <c r="W14" s="104">
        <f t="shared" si="9"/>
        <v>13206.49727385378</v>
      </c>
    </row>
    <row r="15" spans="1:28" ht="15.75" x14ac:dyDescent="0.25">
      <c r="A15" s="95" t="s">
        <v>31</v>
      </c>
      <c r="B15" s="96" t="s">
        <v>34</v>
      </c>
      <c r="C15" s="97">
        <f t="shared" si="0"/>
        <v>1308.2275298797533</v>
      </c>
      <c r="D15" s="18">
        <f t="shared" si="1"/>
        <v>1050.2716228543404</v>
      </c>
      <c r="E15" s="18">
        <f t="shared" si="2"/>
        <v>2358.4991527340935</v>
      </c>
      <c r="F15" s="99">
        <f t="shared" si="3"/>
        <v>100048.63846468819</v>
      </c>
      <c r="G15" s="18">
        <f t="shared" si="10"/>
        <v>153039.90625</v>
      </c>
      <c r="H15" s="98">
        <v>306079.8125</v>
      </c>
      <c r="I15" s="123">
        <f t="shared" si="4"/>
        <v>206031.17403531179</v>
      </c>
      <c r="J15" s="123">
        <f t="shared" si="11"/>
        <v>162441.41980259737</v>
      </c>
      <c r="K15" s="18">
        <v>324882.83960519475</v>
      </c>
      <c r="L15" s="123">
        <f t="shared" si="5"/>
        <v>224834.20114050654</v>
      </c>
      <c r="M15" s="100">
        <f>'Tax Levies and EQ Tax Rates'!O22</f>
        <v>2.357352572635476</v>
      </c>
      <c r="N15" s="101">
        <f>'# and Assessed Value of Parcels'!G22/'# and Assessed Value of Parcels'!O22</f>
        <v>0.92460317460317465</v>
      </c>
      <c r="O15" s="101">
        <f>'# and Assessed Value of Parcels'!H22/'# and Assessed Value of Parcels'!P22</f>
        <v>0.82398227250676292</v>
      </c>
      <c r="P15" s="101">
        <f t="shared" si="6"/>
        <v>0.87429272355496879</v>
      </c>
      <c r="Q15" s="102">
        <f>'Tax Levies and EQ Tax Rates'!I22</f>
        <v>13904912.58</v>
      </c>
      <c r="R15" s="102">
        <f t="shared" si="7"/>
        <v>12156963.890361948</v>
      </c>
      <c r="S15" s="103">
        <v>14636</v>
      </c>
      <c r="T15" s="102">
        <f t="shared" si="8"/>
        <v>830.62065389190684</v>
      </c>
      <c r="U15" s="102">
        <f>'Tax Levies and EQ Tax Rates'!C22</f>
        <v>26438319</v>
      </c>
      <c r="V15" s="103">
        <v>2039</v>
      </c>
      <c r="W15" s="104">
        <f t="shared" si="9"/>
        <v>12966.316331535067</v>
      </c>
    </row>
    <row r="16" spans="1:28" ht="15.75" x14ac:dyDescent="0.25">
      <c r="A16" s="95" t="s">
        <v>31</v>
      </c>
      <c r="B16" s="96" t="s">
        <v>35</v>
      </c>
      <c r="C16" s="97">
        <f t="shared" si="0"/>
        <v>1119.3517014947092</v>
      </c>
      <c r="D16" s="18">
        <f t="shared" si="1"/>
        <v>832.00189434703748</v>
      </c>
      <c r="E16" s="18">
        <f t="shared" si="2"/>
        <v>1951.3535958417467</v>
      </c>
      <c r="F16" s="99">
        <f t="shared" si="3"/>
        <v>99085.982700799766</v>
      </c>
      <c r="G16" s="18">
        <f t="shared" si="10"/>
        <v>104337.54</v>
      </c>
      <c r="H16" s="98">
        <v>208675.08</v>
      </c>
      <c r="I16" s="123">
        <f t="shared" si="4"/>
        <v>109589.09729920022</v>
      </c>
      <c r="J16" s="123">
        <f t="shared" si="11"/>
        <v>165477.38041946158</v>
      </c>
      <c r="K16" s="18">
        <v>330954.76083892316</v>
      </c>
      <c r="L16" s="123">
        <f t="shared" si="5"/>
        <v>231868.77813812339</v>
      </c>
      <c r="M16" s="100">
        <f>'Tax Levies and EQ Tax Rates'!O23</f>
        <v>1.9693538305353018</v>
      </c>
      <c r="N16" s="101">
        <f>'# and Assessed Value of Parcels'!G23/'# and Assessed Value of Parcels'!O23</f>
        <v>0.96279666452854396</v>
      </c>
      <c r="O16" s="101">
        <f>'# and Assessed Value of Parcels'!H23/'# and Assessed Value of Parcels'!P23</f>
        <v>0.85286917759426784</v>
      </c>
      <c r="P16" s="101">
        <f t="shared" si="6"/>
        <v>0.9078329210614059</v>
      </c>
      <c r="Q16" s="102">
        <f>'Tax Levies and EQ Tax Rates'!I23</f>
        <v>35498457.659999996</v>
      </c>
      <c r="R16" s="102">
        <f t="shared" si="7"/>
        <v>32226668.510652438</v>
      </c>
      <c r="S16" s="103">
        <v>45345</v>
      </c>
      <c r="T16" s="102">
        <f t="shared" si="8"/>
        <v>710.69949301251381</v>
      </c>
      <c r="U16" s="102">
        <f>'Tax Levies and EQ Tax Rates'!C23</f>
        <v>67957093</v>
      </c>
      <c r="V16" s="103">
        <v>6616</v>
      </c>
      <c r="W16" s="104">
        <f t="shared" si="9"/>
        <v>10271.628325272068</v>
      </c>
    </row>
    <row r="17" spans="1:23" ht="15.75" x14ac:dyDescent="0.25">
      <c r="A17" s="95" t="s">
        <v>31</v>
      </c>
      <c r="B17" s="96" t="s">
        <v>36</v>
      </c>
      <c r="C17" s="97">
        <f t="shared" si="0"/>
        <v>961.40301548174057</v>
      </c>
      <c r="D17" s="18">
        <f t="shared" si="1"/>
        <v>604.38826110197374</v>
      </c>
      <c r="E17" s="18">
        <f t="shared" si="2"/>
        <v>1565.7912765837143</v>
      </c>
      <c r="F17" s="99">
        <f t="shared" si="3"/>
        <v>82547.140299890205</v>
      </c>
      <c r="G17" s="18">
        <f t="shared" si="10"/>
        <v>81734.833333333328</v>
      </c>
      <c r="H17" s="98">
        <v>163469.66666666666</v>
      </c>
      <c r="I17" s="123">
        <f t="shared" si="4"/>
        <v>80922.526366776452</v>
      </c>
      <c r="J17" s="123">
        <f t="shared" si="11"/>
        <v>146734.95478277086</v>
      </c>
      <c r="K17" s="18">
        <v>293469.90956554172</v>
      </c>
      <c r="L17" s="123">
        <f t="shared" si="5"/>
        <v>210922.76926565153</v>
      </c>
      <c r="M17" s="100">
        <f>'Tax Levies and EQ Tax Rates'!O24</f>
        <v>1.8968449674879859</v>
      </c>
      <c r="N17" s="101">
        <f>'# and Assessed Value of Parcels'!G24/'# and Assessed Value of Parcels'!O24</f>
        <v>0.95376862401402274</v>
      </c>
      <c r="O17" s="101">
        <f>'# and Assessed Value of Parcels'!H24/'# and Assessed Value of Parcels'!P24</f>
        <v>0.87694473065069911</v>
      </c>
      <c r="P17" s="101">
        <f t="shared" si="6"/>
        <v>0.91535667733236092</v>
      </c>
      <c r="Q17" s="102">
        <f>'Tax Levies and EQ Tax Rates'!I24</f>
        <v>10748447</v>
      </c>
      <c r="R17" s="102">
        <f t="shared" si="7"/>
        <v>9838662.7324029822</v>
      </c>
      <c r="S17" s="103">
        <v>16118</v>
      </c>
      <c r="T17" s="102">
        <f t="shared" si="8"/>
        <v>610.41461300427977</v>
      </c>
      <c r="U17" s="102">
        <f>'Tax Levies and EQ Tax Rates'!C24</f>
        <v>18146571</v>
      </c>
      <c r="V17" s="103">
        <v>2432</v>
      </c>
      <c r="W17" s="104">
        <f t="shared" si="9"/>
        <v>7461.5834703947367</v>
      </c>
    </row>
    <row r="18" spans="1:23" ht="15.75" x14ac:dyDescent="0.25">
      <c r="A18" s="95" t="s">
        <v>31</v>
      </c>
      <c r="B18" s="96" t="s">
        <v>37</v>
      </c>
      <c r="C18" s="97">
        <f t="shared" si="0"/>
        <v>1322.8268410132519</v>
      </c>
      <c r="D18" s="18">
        <f t="shared" si="1"/>
        <v>1074.6985137167526</v>
      </c>
      <c r="E18" s="18">
        <f t="shared" si="2"/>
        <v>2397.5253547300044</v>
      </c>
      <c r="F18" s="99">
        <f t="shared" si="3"/>
        <v>102482.18411868304</v>
      </c>
      <c r="G18" s="18">
        <f t="shared" si="10"/>
        <v>116419.83526011561</v>
      </c>
      <c r="H18" s="98">
        <v>232839.67052023122</v>
      </c>
      <c r="I18" s="123">
        <f t="shared" si="4"/>
        <v>130357.48640154817</v>
      </c>
      <c r="J18" s="123">
        <f t="shared" si="11"/>
        <v>153809.75293890372</v>
      </c>
      <c r="K18" s="18">
        <v>307619.50587780745</v>
      </c>
      <c r="L18" s="123">
        <f t="shared" si="5"/>
        <v>205137.3217591244</v>
      </c>
      <c r="M18" s="100">
        <f>'Tax Levies and EQ Tax Rates'!O25</f>
        <v>2.3394557555032858</v>
      </c>
      <c r="N18" s="101">
        <f>'# and Assessed Value of Parcels'!G25/'# and Assessed Value of Parcels'!O25</f>
        <v>0.95527753810756399</v>
      </c>
      <c r="O18" s="101">
        <f>'# and Assessed Value of Parcels'!H25/'# and Assessed Value of Parcels'!P25</f>
        <v>0.7164271010805654</v>
      </c>
      <c r="P18" s="101">
        <f t="shared" si="6"/>
        <v>0.8358523195940647</v>
      </c>
      <c r="Q18" s="102">
        <f>'Tax Levies and EQ Tax Rates'!I25</f>
        <v>104139647.23</v>
      </c>
      <c r="R18" s="102">
        <f t="shared" si="7"/>
        <v>87045365.698903114</v>
      </c>
      <c r="S18" s="103">
        <v>103639</v>
      </c>
      <c r="T18" s="102">
        <f t="shared" si="8"/>
        <v>839.89005778619162</v>
      </c>
      <c r="U18" s="102">
        <f>'Tax Levies and EQ Tax Rates'!C25</f>
        <v>190553334</v>
      </c>
      <c r="V18" s="103">
        <v>14362</v>
      </c>
      <c r="W18" s="104">
        <f t="shared" si="9"/>
        <v>13267.882885392006</v>
      </c>
    </row>
    <row r="19" spans="1:23" ht="15.75" x14ac:dyDescent="0.25">
      <c r="A19" s="95" t="s">
        <v>38</v>
      </c>
      <c r="B19" s="96" t="s">
        <v>39</v>
      </c>
      <c r="C19" s="97">
        <f t="shared" si="0"/>
        <v>1796.7719139720693</v>
      </c>
      <c r="D19" s="18">
        <f t="shared" si="1"/>
        <v>240.95138258426968</v>
      </c>
      <c r="E19" s="18">
        <f t="shared" si="2"/>
        <v>2037.7232965563389</v>
      </c>
      <c r="F19" s="99">
        <f t="shared" si="3"/>
        <v>75548.136924744787</v>
      </c>
      <c r="G19" s="18">
        <f t="shared" si="10"/>
        <v>67359.375</v>
      </c>
      <c r="H19" s="98">
        <v>134718.75</v>
      </c>
      <c r="I19" s="123">
        <f t="shared" si="4"/>
        <v>59170.613075255213</v>
      </c>
      <c r="J19" s="123">
        <f t="shared" si="11"/>
        <v>91945.551422745208</v>
      </c>
      <c r="K19" s="18">
        <v>183891.10284549042</v>
      </c>
      <c r="L19" s="123">
        <f t="shared" si="5"/>
        <v>108342.96592074563</v>
      </c>
      <c r="M19" s="100">
        <f>'Tax Levies and EQ Tax Rates'!O26</f>
        <v>2.6972515531205774</v>
      </c>
      <c r="N19" s="101">
        <f>'# and Assessed Value of Parcels'!G26/'# and Assessed Value of Parcels'!O26</f>
        <v>0.96441281138790036</v>
      </c>
      <c r="O19" s="101">
        <f>'# and Assessed Value of Parcels'!H26/'# and Assessed Value of Parcels'!P26</f>
        <v>0.88303144331890093</v>
      </c>
      <c r="P19" s="101">
        <f t="shared" si="6"/>
        <v>0.92372212735340065</v>
      </c>
      <c r="Q19" s="102">
        <f>'Tax Levies and EQ Tax Rates'!I26</f>
        <v>12047538.390000001</v>
      </c>
      <c r="R19" s="102">
        <f t="shared" si="7"/>
        <v>11128577.790982563</v>
      </c>
      <c r="S19" s="103">
        <v>9755</v>
      </c>
      <c r="T19" s="102">
        <f t="shared" si="8"/>
        <v>1140.8075644267108</v>
      </c>
      <c r="U19" s="102">
        <f>'Tax Levies and EQ Tax Rates'!C26</f>
        <v>5294981</v>
      </c>
      <c r="V19" s="103">
        <v>1780</v>
      </c>
      <c r="W19" s="104">
        <f t="shared" si="9"/>
        <v>2974.7084269662923</v>
      </c>
    </row>
    <row r="20" spans="1:23" ht="15.75" x14ac:dyDescent="0.25">
      <c r="A20" s="95" t="s">
        <v>38</v>
      </c>
      <c r="B20" s="96" t="s">
        <v>40</v>
      </c>
      <c r="C20" s="97">
        <f t="shared" si="0"/>
        <v>910.28082218399072</v>
      </c>
      <c r="D20" s="18">
        <f t="shared" si="1"/>
        <v>1107.6795341398401</v>
      </c>
      <c r="E20" s="18">
        <f t="shared" si="2"/>
        <v>2017.9603563238309</v>
      </c>
      <c r="F20" s="99">
        <f t="shared" si="3"/>
        <v>124666.37405960567</v>
      </c>
      <c r="G20" s="18">
        <f t="shared" si="10"/>
        <v>146031.25</v>
      </c>
      <c r="H20" s="98">
        <v>292062.5</v>
      </c>
      <c r="I20" s="123">
        <f t="shared" si="4"/>
        <v>167396.12594039433</v>
      </c>
      <c r="J20" s="123">
        <f t="shared" si="11"/>
        <v>240243.68690050743</v>
      </c>
      <c r="K20" s="18">
        <v>480487.37380101485</v>
      </c>
      <c r="L20" s="123">
        <f t="shared" si="5"/>
        <v>355820.99974140921</v>
      </c>
      <c r="M20" s="100">
        <f>'Tax Levies and EQ Tax Rates'!O27</f>
        <v>1.6186885770488524</v>
      </c>
      <c r="N20" s="101">
        <f>'# and Assessed Value of Parcels'!G27/'# and Assessed Value of Parcels'!O27</f>
        <v>0.97272104180945851</v>
      </c>
      <c r="O20" s="101">
        <f>'# and Assessed Value of Parcels'!H27/'# and Assessed Value of Parcels'!P27</f>
        <v>0.92205750411890763</v>
      </c>
      <c r="P20" s="101">
        <f t="shared" si="6"/>
        <v>0.94738927296418307</v>
      </c>
      <c r="Q20" s="102">
        <f>'Tax Levies and EQ Tax Rates'!I27</f>
        <v>24954149.290000003</v>
      </c>
      <c r="R20" s="102">
        <f t="shared" si="7"/>
        <v>23641293.353292789</v>
      </c>
      <c r="S20" s="103">
        <v>40905</v>
      </c>
      <c r="T20" s="102">
        <f t="shared" si="8"/>
        <v>577.95607757713697</v>
      </c>
      <c r="U20" s="102">
        <f>'Tax Levies and EQ Tax Rates'!C27</f>
        <v>66693248</v>
      </c>
      <c r="V20" s="103">
        <v>4877</v>
      </c>
      <c r="W20" s="104">
        <f t="shared" si="9"/>
        <v>13675.055977035063</v>
      </c>
    </row>
    <row r="21" spans="1:23" ht="15.75" customHeight="1" x14ac:dyDescent="0.25">
      <c r="A21" s="95" t="s">
        <v>41</v>
      </c>
      <c r="B21" s="96" t="s">
        <v>42</v>
      </c>
      <c r="C21" s="97">
        <f t="shared" si="0"/>
        <v>1199.6618777182114</v>
      </c>
      <c r="D21" s="18">
        <f t="shared" si="1"/>
        <v>130.85068651749492</v>
      </c>
      <c r="E21" s="18">
        <f t="shared" si="2"/>
        <v>1330.5125642357063</v>
      </c>
      <c r="F21" s="99">
        <f t="shared" si="3"/>
        <v>51492.10039527584</v>
      </c>
      <c r="G21" s="18">
        <f t="shared" si="10"/>
        <v>63852.06</v>
      </c>
      <c r="H21" s="98">
        <v>127704.12</v>
      </c>
      <c r="I21" s="123">
        <f t="shared" si="4"/>
        <v>76212.019604724162</v>
      </c>
      <c r="J21" s="123">
        <f t="shared" si="11"/>
        <v>129509.79102471529</v>
      </c>
      <c r="K21" s="18">
        <v>259019.58204943058</v>
      </c>
      <c r="L21" s="123">
        <f t="shared" si="5"/>
        <v>207527.48165415475</v>
      </c>
      <c r="M21" s="100">
        <f>'Tax Levies and EQ Tax Rates'!O33</f>
        <v>2.5839158900532531</v>
      </c>
      <c r="N21" s="101">
        <f>'# and Assessed Value of Parcels'!G33/'# and Assessed Value of Parcels'!O33</f>
        <v>0.8215948144603471</v>
      </c>
      <c r="O21" s="101">
        <f>'# and Assessed Value of Parcels'!H33/'# and Assessed Value of Parcels'!P33</f>
        <v>0.65337602486817126</v>
      </c>
      <c r="P21" s="101">
        <f t="shared" si="6"/>
        <v>0.73748541966425918</v>
      </c>
      <c r="Q21" s="102">
        <f>'Tax Levies and EQ Tax Rates'!I33</f>
        <v>164974488.69999999</v>
      </c>
      <c r="R21" s="102">
        <f t="shared" si="7"/>
        <v>121666280.03281608</v>
      </c>
      <c r="S21" s="103">
        <v>159732</v>
      </c>
      <c r="T21" s="102">
        <f t="shared" si="8"/>
        <v>761.69008109092783</v>
      </c>
      <c r="U21" s="102">
        <f>'Tax Levies and EQ Tax Rates'!C33</f>
        <v>50970381</v>
      </c>
      <c r="V21" s="103">
        <v>31552</v>
      </c>
      <c r="W21" s="104">
        <f t="shared" si="9"/>
        <v>1615.4405742900608</v>
      </c>
    </row>
    <row r="22" spans="1:23" ht="15.75" customHeight="1" x14ac:dyDescent="0.25">
      <c r="A22" s="95" t="s">
        <v>41</v>
      </c>
      <c r="B22" s="96" t="s">
        <v>43</v>
      </c>
      <c r="C22" s="97">
        <f t="shared" si="0"/>
        <v>1399.0576277779953</v>
      </c>
      <c r="D22" s="18">
        <f t="shared" si="1"/>
        <v>1073.2922372093024</v>
      </c>
      <c r="E22" s="18">
        <f t="shared" si="2"/>
        <v>2472.3498649872977</v>
      </c>
      <c r="F22" s="99">
        <f t="shared" si="3"/>
        <v>86720.598015794676</v>
      </c>
      <c r="G22" s="18">
        <f t="shared" si="10"/>
        <v>138989.00819672132</v>
      </c>
      <c r="H22" s="98">
        <v>277978.01639344264</v>
      </c>
      <c r="I22" s="123">
        <f t="shared" si="4"/>
        <v>191257.41837764796</v>
      </c>
      <c r="J22" s="123">
        <f t="shared" si="11"/>
        <v>148504.85725022931</v>
      </c>
      <c r="K22" s="18">
        <v>297009.71450045862</v>
      </c>
      <c r="L22" s="123">
        <f t="shared" si="5"/>
        <v>210289.11648466394</v>
      </c>
      <c r="M22" s="100">
        <f>'Tax Levies and EQ Tax Rates'!O34</f>
        <v>2.8509372877444887</v>
      </c>
      <c r="N22" s="101">
        <f>'# and Assessed Value of Parcels'!G34/'# and Assessed Value of Parcels'!O34</f>
        <v>0.95521999479302266</v>
      </c>
      <c r="O22" s="101">
        <f>'# and Assessed Value of Parcels'!H34/'# and Assessed Value of Parcels'!P34</f>
        <v>0.87552226480698236</v>
      </c>
      <c r="P22" s="101">
        <f t="shared" si="6"/>
        <v>0.91537112980000246</v>
      </c>
      <c r="Q22" s="102">
        <f>'Tax Levies and EQ Tax Rates'!I34</f>
        <v>10797816</v>
      </c>
      <c r="R22" s="102">
        <f t="shared" si="7"/>
        <v>9884009.0312925428</v>
      </c>
      <c r="S22" s="103">
        <v>11127</v>
      </c>
      <c r="T22" s="102">
        <f t="shared" si="8"/>
        <v>888.29055731936216</v>
      </c>
      <c r="U22" s="102">
        <f>'Tax Levies and EQ Tax Rates'!C34</f>
        <v>25639759</v>
      </c>
      <c r="V22" s="103">
        <v>1935</v>
      </c>
      <c r="W22" s="104">
        <f t="shared" si="9"/>
        <v>13250.521447028425</v>
      </c>
    </row>
    <row r="23" spans="1:23" ht="15.75" customHeight="1" x14ac:dyDescent="0.25">
      <c r="A23" s="95" t="s">
        <v>41</v>
      </c>
      <c r="B23" s="96" t="s">
        <v>44</v>
      </c>
      <c r="C23" s="97">
        <f t="shared" si="0"/>
        <v>1581.3648998085366</v>
      </c>
      <c r="D23" s="18">
        <f t="shared" si="1"/>
        <v>1611.9864397613303</v>
      </c>
      <c r="E23" s="18">
        <f t="shared" si="2"/>
        <v>3193.3513395698669</v>
      </c>
      <c r="F23" s="99">
        <f t="shared" si="3"/>
        <v>157210.85208242631</v>
      </c>
      <c r="G23" s="18">
        <f t="shared" si="10"/>
        <v>76659.687179487184</v>
      </c>
      <c r="H23" s="98">
        <v>153319.37435897437</v>
      </c>
      <c r="I23" s="123">
        <f t="shared" si="4"/>
        <v>-3891.4777234519424</v>
      </c>
      <c r="J23" s="123">
        <f t="shared" si="11"/>
        <v>238923.0683080219</v>
      </c>
      <c r="K23" s="18">
        <v>477846.1366160438</v>
      </c>
      <c r="L23" s="123">
        <f t="shared" si="5"/>
        <v>320635.28453361749</v>
      </c>
      <c r="M23" s="100">
        <f>'Tax Levies and EQ Tax Rates'!O35</f>
        <v>2.0312537571487619</v>
      </c>
      <c r="N23" s="101">
        <f>'# and Assessed Value of Parcels'!G35/'# and Assessed Value of Parcels'!O35</f>
        <v>0.95973428121904314</v>
      </c>
      <c r="O23" s="101">
        <f>'# and Assessed Value of Parcels'!H35/'# and Assessed Value of Parcels'!P35</f>
        <v>0.74630979334649838</v>
      </c>
      <c r="P23" s="101">
        <f t="shared" si="6"/>
        <v>0.85302203728277082</v>
      </c>
      <c r="Q23" s="102">
        <f>'Tax Levies and EQ Tax Rates'!I35</f>
        <v>64546529</v>
      </c>
      <c r="R23" s="102">
        <f t="shared" si="7"/>
        <v>55059611.667111449</v>
      </c>
      <c r="S23" s="103">
        <v>54838</v>
      </c>
      <c r="T23" s="102">
        <f t="shared" si="8"/>
        <v>1004.0412062276423</v>
      </c>
      <c r="U23" s="102">
        <f>'Tax Levies and EQ Tax Rates'!C35</f>
        <v>156760706</v>
      </c>
      <c r="V23" s="103">
        <v>7877</v>
      </c>
      <c r="W23" s="104">
        <f t="shared" si="9"/>
        <v>19901.067157547288</v>
      </c>
    </row>
    <row r="24" spans="1:23" ht="15.75" customHeight="1" x14ac:dyDescent="0.25">
      <c r="A24" s="95" t="s">
        <v>45</v>
      </c>
      <c r="B24" s="96" t="s">
        <v>46</v>
      </c>
      <c r="C24" s="97">
        <f t="shared" si="0"/>
        <v>865.00861749842352</v>
      </c>
      <c r="D24" s="18">
        <f t="shared" si="1"/>
        <v>1446.5862087223734</v>
      </c>
      <c r="E24" s="18">
        <f t="shared" si="2"/>
        <v>2311.5948262207967</v>
      </c>
      <c r="F24" s="99">
        <f t="shared" si="3"/>
        <v>142412.75815231807</v>
      </c>
      <c r="G24" s="18">
        <f t="shared" si="10"/>
        <v>70817.25</v>
      </c>
      <c r="H24" s="98">
        <v>141634.5</v>
      </c>
      <c r="I24" s="123">
        <f t="shared" si="4"/>
        <v>-778.25815231807064</v>
      </c>
      <c r="J24" s="123">
        <f t="shared" si="11"/>
        <v>184741.96654253488</v>
      </c>
      <c r="K24" s="18">
        <v>369483.93308506976</v>
      </c>
      <c r="L24" s="123">
        <f t="shared" si="5"/>
        <v>227071.17493275169</v>
      </c>
      <c r="M24" s="100">
        <f>'Tax Levies and EQ Tax Rates'!O38</f>
        <v>1.6231655479549254</v>
      </c>
      <c r="N24" s="101">
        <f>'# and Assessed Value of Parcels'!G38/'# and Assessed Value of Parcels'!O38</f>
        <v>0.966461229754909</v>
      </c>
      <c r="O24" s="101">
        <f>'# and Assessed Value of Parcels'!H38/'# and Assessed Value of Parcels'!P38</f>
        <v>0.74002784885113326</v>
      </c>
      <c r="P24" s="101">
        <f t="shared" si="6"/>
        <v>0.85324453930302113</v>
      </c>
      <c r="Q24" s="102">
        <f>'Tax Levies and EQ Tax Rates'!I38</f>
        <v>44004169</v>
      </c>
      <c r="R24" s="102">
        <f t="shared" si="7"/>
        <v>37546316.905817285</v>
      </c>
      <c r="S24" s="103">
        <v>68364</v>
      </c>
      <c r="T24" s="102">
        <f t="shared" si="8"/>
        <v>549.21182063391973</v>
      </c>
      <c r="U24" s="102">
        <f>'Tax Levies and EQ Tax Rates'!C38</f>
        <v>151105752</v>
      </c>
      <c r="V24" s="103">
        <v>8461</v>
      </c>
      <c r="W24" s="104">
        <f t="shared" si="9"/>
        <v>17859.088996572511</v>
      </c>
    </row>
    <row r="25" spans="1:23" ht="15.75" customHeight="1" x14ac:dyDescent="0.25">
      <c r="A25" s="95" t="s">
        <v>45</v>
      </c>
      <c r="B25" s="96" t="s">
        <v>47</v>
      </c>
      <c r="C25" s="97">
        <f t="shared" si="0"/>
        <v>1245.2654631723447</v>
      </c>
      <c r="D25" s="18">
        <f t="shared" si="1"/>
        <v>766.70936880290208</v>
      </c>
      <c r="E25" s="18">
        <f t="shared" si="2"/>
        <v>2011.9748319752466</v>
      </c>
      <c r="F25" s="99">
        <f t="shared" si="3"/>
        <v>76259.172019515434</v>
      </c>
      <c r="G25" s="18">
        <f t="shared" si="10"/>
        <v>97261.466257668711</v>
      </c>
      <c r="H25" s="98">
        <v>194522.93251533742</v>
      </c>
      <c r="I25" s="123">
        <f t="shared" si="4"/>
        <v>118263.76049582199</v>
      </c>
      <c r="J25" s="123">
        <f t="shared" si="11"/>
        <v>126651.92700423248</v>
      </c>
      <c r="K25" s="18">
        <v>253303.85400846496</v>
      </c>
      <c r="L25" s="123">
        <f t="shared" si="5"/>
        <v>177044.68198894954</v>
      </c>
      <c r="M25" s="100">
        <f>'Tax Levies and EQ Tax Rates'!O39</f>
        <v>2.6383381548653104</v>
      </c>
      <c r="N25" s="101">
        <f>'# and Assessed Value of Parcels'!G39/'# and Assessed Value of Parcels'!O39</f>
        <v>0.95111773472429206</v>
      </c>
      <c r="O25" s="101">
        <f>'# and Assessed Value of Parcels'!H39/'# and Assessed Value of Parcels'!P39</f>
        <v>0.86385134818830744</v>
      </c>
      <c r="P25" s="101">
        <f t="shared" si="6"/>
        <v>0.90748454145629975</v>
      </c>
      <c r="Q25" s="102">
        <f>'Tax Levies and EQ Tax Rates'!I39</f>
        <v>9542787.1500000004</v>
      </c>
      <c r="R25" s="102">
        <f t="shared" si="7"/>
        <v>8659931.8210328203</v>
      </c>
      <c r="S25" s="103">
        <v>10953</v>
      </c>
      <c r="T25" s="102">
        <f t="shared" si="8"/>
        <v>790.64473852212359</v>
      </c>
      <c r="U25" s="102">
        <f>'Tax Levies and EQ Tax Rates'!C39</f>
        <v>15656016</v>
      </c>
      <c r="V25" s="103">
        <v>1654</v>
      </c>
      <c r="W25" s="104">
        <f t="shared" si="9"/>
        <v>9465.5477629987909</v>
      </c>
    </row>
    <row r="26" spans="1:23" ht="15.75" customHeight="1" x14ac:dyDescent="0.25">
      <c r="A26" s="95" t="s">
        <v>48</v>
      </c>
      <c r="B26" s="96" t="s">
        <v>49</v>
      </c>
      <c r="C26" s="97">
        <f t="shared" si="0"/>
        <v>1620.9564565432868</v>
      </c>
      <c r="D26" s="18">
        <f t="shared" si="1"/>
        <v>1159.0961719319564</v>
      </c>
      <c r="E26" s="18">
        <f t="shared" si="2"/>
        <v>2780.0526284752432</v>
      </c>
      <c r="F26" s="99">
        <f t="shared" si="3"/>
        <v>119758.01223984158</v>
      </c>
      <c r="G26" s="18">
        <f t="shared" si="10"/>
        <v>104337.86</v>
      </c>
      <c r="H26" s="98">
        <v>208675.72</v>
      </c>
      <c r="I26" s="123">
        <f t="shared" si="4"/>
        <v>88917.707760158417</v>
      </c>
      <c r="J26" s="123">
        <f t="shared" si="11"/>
        <v>163336.86669780553</v>
      </c>
      <c r="K26" s="18">
        <v>326673.73339561105</v>
      </c>
      <c r="L26" s="123">
        <f t="shared" si="5"/>
        <v>206915.72115576948</v>
      </c>
      <c r="M26" s="100">
        <f>'Tax Levies and EQ Tax Rates'!O40</f>
        <v>2.3213917603338139</v>
      </c>
      <c r="N26" s="101">
        <f>'# and Assessed Value of Parcels'!G40/'# and Assessed Value of Parcels'!O40</f>
        <v>0.90298507462686572</v>
      </c>
      <c r="O26" s="101">
        <f>'# and Assessed Value of Parcels'!H40/'# and Assessed Value of Parcels'!P40</f>
        <v>0.53546516271707922</v>
      </c>
      <c r="P26" s="101">
        <f t="shared" si="6"/>
        <v>0.71922511867197247</v>
      </c>
      <c r="Q26" s="102">
        <f>'Tax Levies and EQ Tax Rates'!I40</f>
        <v>62587105.100000001</v>
      </c>
      <c r="R26" s="102">
        <f t="shared" si="7"/>
        <v>45014218.092882715</v>
      </c>
      <c r="S26" s="103">
        <v>43738</v>
      </c>
      <c r="T26" s="102">
        <f t="shared" si="8"/>
        <v>1029.1787025671663</v>
      </c>
      <c r="U26" s="102">
        <f>'Tax Levies and EQ Tax Rates'!C40</f>
        <v>94215916</v>
      </c>
      <c r="V26" s="103">
        <v>6584</v>
      </c>
      <c r="W26" s="104">
        <f t="shared" si="9"/>
        <v>14309.829283110572</v>
      </c>
    </row>
    <row r="27" spans="1:23" ht="15.75" customHeight="1" x14ac:dyDescent="0.25">
      <c r="A27" s="105" t="s">
        <v>48</v>
      </c>
      <c r="B27" s="106" t="s">
        <v>50</v>
      </c>
      <c r="C27" s="107">
        <f t="shared" si="0"/>
        <v>1743.2195065270014</v>
      </c>
      <c r="D27" s="108">
        <f t="shared" si="1"/>
        <v>888.84969699903195</v>
      </c>
      <c r="E27" s="108">
        <f t="shared" si="2"/>
        <v>2632.0692035260336</v>
      </c>
      <c r="F27" s="109">
        <f t="shared" si="3"/>
        <v>91218.634005232234</v>
      </c>
      <c r="G27" s="18">
        <f t="shared" si="10"/>
        <v>132152.2794117647</v>
      </c>
      <c r="H27" s="98">
        <v>264304.5588235294</v>
      </c>
      <c r="I27" s="124">
        <f t="shared" si="4"/>
        <v>173085.92481829715</v>
      </c>
      <c r="J27" s="123">
        <f t="shared" si="11"/>
        <v>135807.41208423476</v>
      </c>
      <c r="K27" s="108">
        <v>271614.82416846952</v>
      </c>
      <c r="L27" s="124">
        <f t="shared" si="5"/>
        <v>180396.19016323728</v>
      </c>
      <c r="M27" s="110">
        <f>'Tax Levies and EQ Tax Rates'!O41</f>
        <v>2.885451237271389</v>
      </c>
      <c r="N27" s="111">
        <f>'# and Assessed Value of Parcels'!G41/'# and Assessed Value of Parcels'!O41</f>
        <v>0.94367816091954027</v>
      </c>
      <c r="O27" s="111">
        <f>'# and Assessed Value of Parcels'!H41/'# and Assessed Value of Parcels'!P41</f>
        <v>0.73460247640646714</v>
      </c>
      <c r="P27" s="111">
        <f t="shared" si="6"/>
        <v>0.83914031866300376</v>
      </c>
      <c r="Q27" s="112">
        <f>'Tax Levies and EQ Tax Rates'!I41</f>
        <v>38983658</v>
      </c>
      <c r="R27" s="112">
        <f t="shared" si="7"/>
        <v>32712759.196769554</v>
      </c>
      <c r="S27" s="113">
        <v>29556</v>
      </c>
      <c r="T27" s="112">
        <f t="shared" si="8"/>
        <v>1106.8060358901596</v>
      </c>
      <c r="U27" s="112">
        <f>'Tax Levies and EQ Tax Rates'!C41</f>
        <v>45342308</v>
      </c>
      <c r="V27" s="113">
        <v>4132</v>
      </c>
      <c r="W27" s="114">
        <f t="shared" si="9"/>
        <v>10973.453049370764</v>
      </c>
    </row>
    <row r="28" spans="1:23" ht="15.75" customHeight="1" x14ac:dyDescent="0.25">
      <c r="C28" s="148">
        <f>AVERAGE(C10:C27)</f>
        <v>1281.8354365272842</v>
      </c>
      <c r="D28" s="116">
        <f t="shared" ref="D28:W28" si="12">AVERAGE(D10:D27)</f>
        <v>889.10872665180261</v>
      </c>
      <c r="E28" s="116">
        <f t="shared" si="12"/>
        <v>2170.9441631790864</v>
      </c>
      <c r="F28" s="116">
        <f t="shared" si="12"/>
        <v>95500.371312172094</v>
      </c>
      <c r="G28" s="116">
        <f t="shared" si="12"/>
        <v>101771.94211288601</v>
      </c>
      <c r="H28" s="116">
        <f t="shared" si="12"/>
        <v>203543.88422577202</v>
      </c>
      <c r="I28" s="116">
        <f t="shared" si="12"/>
        <v>108043.51291359989</v>
      </c>
      <c r="J28" s="116">
        <f t="shared" si="12"/>
        <v>157338.3524550976</v>
      </c>
      <c r="K28" s="116">
        <f t="shared" si="12"/>
        <v>314676.7049101952</v>
      </c>
      <c r="L28" s="116">
        <f t="shared" si="12"/>
        <v>219176.33359802313</v>
      </c>
      <c r="M28" s="146">
        <f t="shared" si="12"/>
        <v>2.4129290581626734</v>
      </c>
      <c r="N28" s="149">
        <f t="shared" si="12"/>
        <v>0.93928186702290029</v>
      </c>
      <c r="O28" s="149">
        <f t="shared" si="12"/>
        <v>0.78564249687468224</v>
      </c>
      <c r="P28" s="149">
        <f t="shared" si="12"/>
        <v>0.86246218194879132</v>
      </c>
      <c r="Q28" s="150">
        <f t="shared" si="12"/>
        <v>54007357.601666659</v>
      </c>
      <c r="R28" s="150">
        <f t="shared" si="12"/>
        <v>42881523.388608858</v>
      </c>
      <c r="S28" s="151">
        <f t="shared" si="12"/>
        <v>59688.777777777781</v>
      </c>
      <c r="T28" s="116">
        <f t="shared" si="12"/>
        <v>813.86376922367242</v>
      </c>
      <c r="U28" s="150">
        <f t="shared" si="12"/>
        <v>74463249.833333328</v>
      </c>
      <c r="V28" s="151">
        <f t="shared" si="12"/>
        <v>9865.5</v>
      </c>
      <c r="W28" s="116">
        <f t="shared" si="12"/>
        <v>10976.65094631855</v>
      </c>
    </row>
    <row r="29" spans="1:23" ht="15.75" customHeight="1" x14ac:dyDescent="0.25"/>
    <row r="30" spans="1:23" ht="15.75" customHeight="1" x14ac:dyDescent="0.25"/>
    <row r="31" spans="1:23" ht="15.75" customHeight="1" x14ac:dyDescent="0.25"/>
    <row r="32" spans="1:2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A8:B8"/>
    <mergeCell ref="C8:F8"/>
    <mergeCell ref="M8:W8"/>
    <mergeCell ref="G8:L8"/>
  </mergeCells>
  <pageMargins left="0.7" right="0.7" top="0.75" bottom="0.75" header="0" footer="0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B1000"/>
  <sheetViews>
    <sheetView workbookViewId="0">
      <selection activeCell="J1" sqref="J1:J1048576"/>
    </sheetView>
  </sheetViews>
  <sheetFormatPr defaultColWidth="14.42578125" defaultRowHeight="15" customHeight="1" x14ac:dyDescent="0.25"/>
  <cols>
    <col min="1" max="2" width="20.85546875" customWidth="1"/>
    <col min="3" max="19" width="15.85546875" customWidth="1"/>
    <col min="20" max="28" width="11.42578125" customWidth="1"/>
  </cols>
  <sheetData>
    <row r="1" spans="1:28" x14ac:dyDescent="0.25">
      <c r="A1" s="1" t="s">
        <v>92</v>
      </c>
    </row>
    <row r="3" spans="1:28" x14ac:dyDescent="0.25">
      <c r="A3" s="219" t="s">
        <v>93</v>
      </c>
      <c r="B3" s="209"/>
    </row>
    <row r="4" spans="1:28" x14ac:dyDescent="0.25">
      <c r="A4" s="2" t="s">
        <v>0</v>
      </c>
      <c r="B4" s="3" t="s">
        <v>1</v>
      </c>
    </row>
    <row r="5" spans="1:28" x14ac:dyDescent="0.25">
      <c r="A5" s="4" t="s">
        <v>2</v>
      </c>
      <c r="B5" s="5">
        <v>1.575</v>
      </c>
    </row>
    <row r="6" spans="1:28" x14ac:dyDescent="0.25">
      <c r="A6" s="6" t="s">
        <v>3</v>
      </c>
      <c r="B6" s="7">
        <v>8.1000000000000003E-2</v>
      </c>
    </row>
    <row r="7" spans="1:28" ht="15.75" thickBot="1" x14ac:dyDescent="0.3">
      <c r="A7" s="8"/>
      <c r="B7" s="8"/>
    </row>
    <row r="8" spans="1:28" ht="31.5" customHeight="1" x14ac:dyDescent="0.25">
      <c r="A8" s="220" t="s">
        <v>4</v>
      </c>
      <c r="B8" s="209"/>
      <c r="C8" s="220" t="s">
        <v>94</v>
      </c>
      <c r="D8" s="221"/>
      <c r="E8" s="221"/>
      <c r="F8" s="209"/>
      <c r="G8" s="220" t="s">
        <v>6</v>
      </c>
      <c r="H8" s="223"/>
      <c r="I8" s="223"/>
      <c r="J8" s="223"/>
      <c r="K8" s="223"/>
      <c r="L8" s="224"/>
      <c r="M8" s="220" t="s">
        <v>7</v>
      </c>
      <c r="N8" s="221"/>
      <c r="O8" s="221"/>
      <c r="P8" s="221"/>
      <c r="Q8" s="221"/>
      <c r="R8" s="221"/>
      <c r="S8" s="221"/>
      <c r="T8" s="221"/>
      <c r="U8" s="221"/>
      <c r="V8" s="221"/>
      <c r="W8" s="209"/>
    </row>
    <row r="9" spans="1:28" ht="64.5" customHeight="1" thickBot="1" x14ac:dyDescent="0.3">
      <c r="A9" s="93" t="s">
        <v>8</v>
      </c>
      <c r="B9" s="10" t="s">
        <v>9</v>
      </c>
      <c r="C9" s="11" t="s">
        <v>10</v>
      </c>
      <c r="D9" s="12" t="s">
        <v>11</v>
      </c>
      <c r="E9" s="12" t="s">
        <v>12</v>
      </c>
      <c r="F9" s="16" t="s">
        <v>13</v>
      </c>
      <c r="G9" s="13" t="s">
        <v>202</v>
      </c>
      <c r="H9" s="13" t="s">
        <v>191</v>
      </c>
      <c r="I9" s="94" t="s">
        <v>192</v>
      </c>
      <c r="J9" s="14" t="s">
        <v>201</v>
      </c>
      <c r="K9" s="14" t="s">
        <v>193</v>
      </c>
      <c r="L9" s="15" t="s">
        <v>194</v>
      </c>
      <c r="M9" s="11" t="s">
        <v>14</v>
      </c>
      <c r="N9" s="12" t="s">
        <v>15</v>
      </c>
      <c r="O9" s="12" t="s">
        <v>16</v>
      </c>
      <c r="P9" s="12" t="s">
        <v>17</v>
      </c>
      <c r="Q9" s="12" t="s">
        <v>18</v>
      </c>
      <c r="R9" s="12" t="s">
        <v>19</v>
      </c>
      <c r="S9" s="14" t="s">
        <v>20</v>
      </c>
      <c r="T9" s="12" t="s">
        <v>21</v>
      </c>
      <c r="U9" s="12" t="s">
        <v>22</v>
      </c>
      <c r="V9" s="12" t="s">
        <v>23</v>
      </c>
      <c r="W9" s="16" t="s">
        <v>24</v>
      </c>
      <c r="X9" s="17"/>
      <c r="Y9" s="17"/>
      <c r="Z9" s="17"/>
      <c r="AA9" s="17"/>
      <c r="AB9" s="17"/>
    </row>
    <row r="10" spans="1:28" ht="15.75" x14ac:dyDescent="0.25">
      <c r="A10" s="95" t="s">
        <v>25</v>
      </c>
      <c r="B10" s="96" t="s">
        <v>26</v>
      </c>
      <c r="C10" s="97">
        <f t="shared" ref="C10:C27" si="0">$B$5*T10</f>
        <v>1502.255535626206</v>
      </c>
      <c r="D10" s="18">
        <f t="shared" ref="D10:D27" si="1">W10*$B$6</f>
        <v>188.34722583600549</v>
      </c>
      <c r="E10" s="18">
        <f t="shared" ref="E10:E27" si="2">C10+D10</f>
        <v>1690.6027614622114</v>
      </c>
      <c r="F10" s="99">
        <f t="shared" ref="F10:F27" si="3">E10/(M10/100)</f>
        <v>38683.676579117535</v>
      </c>
      <c r="G10" s="18">
        <f>0.5*H10</f>
        <v>30117.5</v>
      </c>
      <c r="H10" s="98">
        <v>60235</v>
      </c>
      <c r="I10" s="123">
        <f t="shared" ref="I10:I27" si="4">H10-F10</f>
        <v>21551.323420882465</v>
      </c>
      <c r="J10" s="123">
        <f>0.5*K10</f>
        <v>49181.384180217996</v>
      </c>
      <c r="K10" s="18">
        <v>98362.768360435992</v>
      </c>
      <c r="L10" s="123">
        <f t="shared" ref="L10:L27" si="5">K10-F10</f>
        <v>59679.091781318457</v>
      </c>
      <c r="M10" s="100">
        <f>'Tax Levies and EQ Tax Rates'!O5</f>
        <v>4.3703259642462298</v>
      </c>
      <c r="N10" s="101">
        <f>'# and Assessed Value of Parcels'!G5/'# and Assessed Value of Parcels'!O5</f>
        <v>0.92172812725958064</v>
      </c>
      <c r="O10" s="101">
        <f>'# and Assessed Value of Parcels'!H5/'# and Assessed Value of Parcels'!P5</f>
        <v>0.73101366343961027</v>
      </c>
      <c r="P10" s="101">
        <f t="shared" ref="P10:P27" si="6">(N10+O10)/2</f>
        <v>0.8263708953495954</v>
      </c>
      <c r="Q10" s="102">
        <f>'Tax Levies and EQ Tax Rates'!I5</f>
        <v>23810385</v>
      </c>
      <c r="R10" s="102">
        <f t="shared" ref="R10:R27" si="7">P10*Q10</f>
        <v>19676209.171068575</v>
      </c>
      <c r="S10" s="103">
        <v>20629</v>
      </c>
      <c r="T10" s="102">
        <f t="shared" ref="T10:T27" si="8">R10/S10</f>
        <v>953.81303849282926</v>
      </c>
      <c r="U10" s="102">
        <f>'Tax Levies and EQ Tax Rates'!C5</f>
        <v>10152148</v>
      </c>
      <c r="V10" s="103">
        <v>4366</v>
      </c>
      <c r="W10" s="104">
        <f t="shared" ref="W10:W27" si="9">U10/V10</f>
        <v>2325.2743930371048</v>
      </c>
    </row>
    <row r="11" spans="1:28" ht="15.75" x14ac:dyDescent="0.25">
      <c r="A11" s="95" t="s">
        <v>27</v>
      </c>
      <c r="B11" s="96" t="s">
        <v>28</v>
      </c>
      <c r="C11" s="97">
        <f t="shared" si="0"/>
        <v>1546.0273946746568</v>
      </c>
      <c r="D11" s="18">
        <f t="shared" si="1"/>
        <v>1251.0081914986854</v>
      </c>
      <c r="E11" s="18">
        <f t="shared" si="2"/>
        <v>2797.0355861733424</v>
      </c>
      <c r="F11" s="99">
        <f t="shared" si="3"/>
        <v>110139.05403646924</v>
      </c>
      <c r="G11" s="18">
        <f t="shared" ref="G11:G27" si="10">0.5*H11</f>
        <v>186862</v>
      </c>
      <c r="H11" s="98">
        <v>373724</v>
      </c>
      <c r="I11" s="123">
        <f t="shared" si="4"/>
        <v>263584.94596353074</v>
      </c>
      <c r="J11" s="123">
        <f t="shared" ref="J11:J26" si="11">0.5*K11</f>
        <v>213444.04500000001</v>
      </c>
      <c r="K11" s="18">
        <v>426888.09</v>
      </c>
      <c r="L11" s="123">
        <f t="shared" si="5"/>
        <v>316749.03596353077</v>
      </c>
      <c r="M11" s="100">
        <f>'Tax Levies and EQ Tax Rates'!O7</f>
        <v>2.5395493094095287</v>
      </c>
      <c r="N11" s="101">
        <f>'# and Assessed Value of Parcels'!G7/'# and Assessed Value of Parcels'!O7</f>
        <v>0.98144233027953953</v>
      </c>
      <c r="O11" s="101">
        <f>'# and Assessed Value of Parcels'!H7/'# and Assessed Value of Parcels'!P7</f>
        <v>0.94433258765869066</v>
      </c>
      <c r="P11" s="101">
        <f t="shared" si="6"/>
        <v>0.9628874589691151</v>
      </c>
      <c r="Q11" s="102">
        <f>'Tax Levies and EQ Tax Rates'!I7</f>
        <v>17251960.34</v>
      </c>
      <c r="R11" s="102">
        <f t="shared" si="7"/>
        <v>16611696.254018551</v>
      </c>
      <c r="S11" s="103">
        <v>16923</v>
      </c>
      <c r="T11" s="102">
        <f t="shared" si="8"/>
        <v>981.60469503152819</v>
      </c>
      <c r="U11" s="102">
        <f>'Tax Levies and EQ Tax Rates'!C7</f>
        <v>35244453</v>
      </c>
      <c r="V11" s="103">
        <v>2282</v>
      </c>
      <c r="W11" s="104">
        <f t="shared" si="9"/>
        <v>15444.545574057844</v>
      </c>
    </row>
    <row r="12" spans="1:28" ht="15.75" x14ac:dyDescent="0.25">
      <c r="A12" s="95" t="s">
        <v>29</v>
      </c>
      <c r="B12" s="96" t="s">
        <v>30</v>
      </c>
      <c r="C12" s="97">
        <f t="shared" si="0"/>
        <v>883.15754796156727</v>
      </c>
      <c r="D12" s="18">
        <f t="shared" si="1"/>
        <v>182.94483277625346</v>
      </c>
      <c r="E12" s="18">
        <f t="shared" si="2"/>
        <v>1066.1023807378208</v>
      </c>
      <c r="F12" s="99">
        <f t="shared" si="3"/>
        <v>40293.651319787095</v>
      </c>
      <c r="G12" s="18">
        <f t="shared" si="10"/>
        <v>82264.833333333328</v>
      </c>
      <c r="H12" s="98">
        <v>164529.66666666666</v>
      </c>
      <c r="I12" s="123">
        <f t="shared" si="4"/>
        <v>124236.01534687956</v>
      </c>
      <c r="J12" s="123">
        <f t="shared" si="11"/>
        <v>103417.51</v>
      </c>
      <c r="K12" s="18">
        <v>206835.02</v>
      </c>
      <c r="L12" s="123">
        <f t="shared" si="5"/>
        <v>166541.36868021288</v>
      </c>
      <c r="M12" s="100">
        <f>'Tax Levies and EQ Tax Rates'!O18</f>
        <v>2.6458321492802699</v>
      </c>
      <c r="N12" s="101">
        <f>'# and Assessed Value of Parcels'!G18/'# and Assessed Value of Parcels'!O18</f>
        <v>0.84162883700821445</v>
      </c>
      <c r="O12" s="101">
        <f>'# and Assessed Value of Parcels'!H18/'# and Assessed Value of Parcels'!P18</f>
        <v>0.54365223337971258</v>
      </c>
      <c r="P12" s="101">
        <f t="shared" si="6"/>
        <v>0.69264053519396351</v>
      </c>
      <c r="Q12" s="102">
        <f>'Tax Levies and EQ Tax Rates'!I18</f>
        <v>252218004</v>
      </c>
      <c r="R12" s="102">
        <f t="shared" si="7"/>
        <v>174696413.27611324</v>
      </c>
      <c r="S12" s="103">
        <v>311549</v>
      </c>
      <c r="T12" s="102">
        <f t="shared" si="8"/>
        <v>560.73495108670943</v>
      </c>
      <c r="U12" s="102">
        <f>'Tax Levies and EQ Tax Rates'!C18</f>
        <v>135819599</v>
      </c>
      <c r="V12" s="103">
        <v>60135</v>
      </c>
      <c r="W12" s="104">
        <f t="shared" si="9"/>
        <v>2258.578182422882</v>
      </c>
    </row>
    <row r="13" spans="1:28" ht="15.75" x14ac:dyDescent="0.25">
      <c r="A13" s="95" t="s">
        <v>31</v>
      </c>
      <c r="B13" s="96" t="s">
        <v>32</v>
      </c>
      <c r="C13" s="97">
        <f t="shared" si="0"/>
        <v>1240.4095654979606</v>
      </c>
      <c r="D13" s="18">
        <f t="shared" si="1"/>
        <v>1324.5685317507418</v>
      </c>
      <c r="E13" s="18">
        <f t="shared" si="2"/>
        <v>2564.9780972487024</v>
      </c>
      <c r="F13" s="99">
        <f t="shared" si="3"/>
        <v>107850.93402674029</v>
      </c>
      <c r="G13" s="18">
        <f t="shared" si="10"/>
        <v>114092.91666666667</v>
      </c>
      <c r="H13" s="98">
        <v>228185.83333333334</v>
      </c>
      <c r="I13" s="123">
        <f t="shared" si="4"/>
        <v>120334.89930659306</v>
      </c>
      <c r="J13" s="123">
        <f t="shared" si="11"/>
        <v>190156.24312778594</v>
      </c>
      <c r="K13" s="18">
        <v>380312.48625557189</v>
      </c>
      <c r="L13" s="123">
        <f t="shared" si="5"/>
        <v>272461.55222883157</v>
      </c>
      <c r="M13" s="100">
        <f>'Tax Levies and EQ Tax Rates'!O20</f>
        <v>2.3782622935956663</v>
      </c>
      <c r="N13" s="101">
        <f>'# and Assessed Value of Parcels'!G20/'# and Assessed Value of Parcels'!O20</f>
        <v>0.95667524385135538</v>
      </c>
      <c r="O13" s="101">
        <f>'# and Assessed Value of Parcels'!H20/'# and Assessed Value of Parcels'!P20</f>
        <v>0.81220548036186702</v>
      </c>
      <c r="P13" s="101">
        <f t="shared" si="6"/>
        <v>0.88444036210661126</v>
      </c>
      <c r="Q13" s="102">
        <f>'Tax Levies and EQ Tax Rates'!I20</f>
        <v>44269379.890000001</v>
      </c>
      <c r="R13" s="102">
        <f t="shared" si="7"/>
        <v>39153626.380146734</v>
      </c>
      <c r="S13" s="103">
        <v>49715</v>
      </c>
      <c r="T13" s="102">
        <f t="shared" si="8"/>
        <v>787.561628887594</v>
      </c>
      <c r="U13" s="102">
        <f>'Tax Levies and EQ Tax Rates'!C20</f>
        <v>137771480</v>
      </c>
      <c r="V13" s="103">
        <v>8425</v>
      </c>
      <c r="W13" s="104">
        <f t="shared" si="9"/>
        <v>16352.697922848665</v>
      </c>
    </row>
    <row r="14" spans="1:28" ht="15.75" x14ac:dyDescent="0.25">
      <c r="A14" s="95" t="s">
        <v>31</v>
      </c>
      <c r="B14" s="96" t="s">
        <v>33</v>
      </c>
      <c r="C14" s="97">
        <f t="shared" si="0"/>
        <v>827.79154065940361</v>
      </c>
      <c r="D14" s="18">
        <f t="shared" si="1"/>
        <v>1069.7262791821563</v>
      </c>
      <c r="E14" s="18">
        <f t="shared" si="2"/>
        <v>1897.5178198415599</v>
      </c>
      <c r="F14" s="99">
        <f t="shared" si="3"/>
        <v>112588.78417816774</v>
      </c>
      <c r="G14" s="18">
        <f t="shared" si="10"/>
        <v>65565.357142857145</v>
      </c>
      <c r="H14" s="98">
        <v>131130.71428571429</v>
      </c>
      <c r="I14" s="123">
        <f t="shared" si="4"/>
        <v>18541.930107546548</v>
      </c>
      <c r="J14" s="123">
        <f t="shared" si="11"/>
        <v>187762.52670499249</v>
      </c>
      <c r="K14" s="18">
        <v>375525.05340998498</v>
      </c>
      <c r="L14" s="123">
        <f t="shared" si="5"/>
        <v>262936.26923181722</v>
      </c>
      <c r="M14" s="100">
        <f>'Tax Levies and EQ Tax Rates'!O21</f>
        <v>1.6853524386930101</v>
      </c>
      <c r="N14" s="101">
        <f>'# and Assessed Value of Parcels'!G21/'# and Assessed Value of Parcels'!O21</f>
        <v>0.97122792306482886</v>
      </c>
      <c r="O14" s="101">
        <f>'# and Assessed Value of Parcels'!H21/'# and Assessed Value of Parcels'!P21</f>
        <v>0.88589383044965919</v>
      </c>
      <c r="P14" s="101">
        <f t="shared" si="6"/>
        <v>0.92856087675724397</v>
      </c>
      <c r="Q14" s="102">
        <f>'Tax Levies and EQ Tax Rates'!I21</f>
        <v>37853002.5</v>
      </c>
      <c r="R14" s="102">
        <f t="shared" si="7"/>
        <v>35148817.189294145</v>
      </c>
      <c r="S14" s="103">
        <v>66876</v>
      </c>
      <c r="T14" s="102">
        <f t="shared" si="8"/>
        <v>525.58193057739913</v>
      </c>
      <c r="U14" s="102">
        <f>'Tax Levies and EQ Tax Rates'!C21</f>
        <v>106576433</v>
      </c>
      <c r="V14" s="103">
        <v>8070</v>
      </c>
      <c r="W14" s="104">
        <f t="shared" si="9"/>
        <v>13206.49727385378</v>
      </c>
    </row>
    <row r="15" spans="1:28" ht="15.75" x14ac:dyDescent="0.25">
      <c r="A15" s="95" t="s">
        <v>31</v>
      </c>
      <c r="B15" s="96" t="s">
        <v>34</v>
      </c>
      <c r="C15" s="97">
        <f t="shared" si="0"/>
        <v>1308.2275298797533</v>
      </c>
      <c r="D15" s="18">
        <f t="shared" si="1"/>
        <v>1050.2716228543404</v>
      </c>
      <c r="E15" s="18">
        <f t="shared" si="2"/>
        <v>2358.4991527340935</v>
      </c>
      <c r="F15" s="99">
        <f t="shared" si="3"/>
        <v>100048.63846468819</v>
      </c>
      <c r="G15" s="18">
        <f t="shared" si="10"/>
        <v>153039.90625</v>
      </c>
      <c r="H15" s="98">
        <v>306079.8125</v>
      </c>
      <c r="I15" s="123">
        <f t="shared" si="4"/>
        <v>206031.17403531179</v>
      </c>
      <c r="J15" s="123">
        <f t="shared" si="11"/>
        <v>162441.41980259737</v>
      </c>
      <c r="K15" s="18">
        <v>324882.83960519475</v>
      </c>
      <c r="L15" s="123">
        <f t="shared" si="5"/>
        <v>224834.20114050654</v>
      </c>
      <c r="M15" s="100">
        <f>'Tax Levies and EQ Tax Rates'!O22</f>
        <v>2.357352572635476</v>
      </c>
      <c r="N15" s="101">
        <f>'# and Assessed Value of Parcels'!G22/'# and Assessed Value of Parcels'!O22</f>
        <v>0.92460317460317465</v>
      </c>
      <c r="O15" s="101">
        <f>'# and Assessed Value of Parcels'!H22/'# and Assessed Value of Parcels'!P22</f>
        <v>0.82398227250676292</v>
      </c>
      <c r="P15" s="101">
        <f t="shared" si="6"/>
        <v>0.87429272355496879</v>
      </c>
      <c r="Q15" s="102">
        <f>'Tax Levies and EQ Tax Rates'!I22</f>
        <v>13904912.58</v>
      </c>
      <c r="R15" s="102">
        <f t="shared" si="7"/>
        <v>12156963.890361948</v>
      </c>
      <c r="S15" s="103">
        <v>14636</v>
      </c>
      <c r="T15" s="102">
        <f t="shared" si="8"/>
        <v>830.62065389190684</v>
      </c>
      <c r="U15" s="102">
        <f>'Tax Levies and EQ Tax Rates'!C22</f>
        <v>26438319</v>
      </c>
      <c r="V15" s="103">
        <v>2039</v>
      </c>
      <c r="W15" s="104">
        <f t="shared" si="9"/>
        <v>12966.316331535067</v>
      </c>
    </row>
    <row r="16" spans="1:28" ht="15.75" x14ac:dyDescent="0.25">
      <c r="A16" s="95" t="s">
        <v>31</v>
      </c>
      <c r="B16" s="96" t="s">
        <v>35</v>
      </c>
      <c r="C16" s="97">
        <f t="shared" si="0"/>
        <v>1119.3517014947092</v>
      </c>
      <c r="D16" s="18">
        <f t="shared" si="1"/>
        <v>832.00189434703748</v>
      </c>
      <c r="E16" s="18">
        <f t="shared" si="2"/>
        <v>1951.3535958417467</v>
      </c>
      <c r="F16" s="99">
        <f t="shared" si="3"/>
        <v>99085.982700799766</v>
      </c>
      <c r="G16" s="18">
        <f t="shared" si="10"/>
        <v>104337.54</v>
      </c>
      <c r="H16" s="98">
        <v>208675.08</v>
      </c>
      <c r="I16" s="123">
        <f t="shared" si="4"/>
        <v>109589.09729920022</v>
      </c>
      <c r="J16" s="123">
        <f t="shared" si="11"/>
        <v>165477.38041946158</v>
      </c>
      <c r="K16" s="18">
        <v>330954.76083892316</v>
      </c>
      <c r="L16" s="123">
        <f t="shared" si="5"/>
        <v>231868.77813812339</v>
      </c>
      <c r="M16" s="100">
        <f>'Tax Levies and EQ Tax Rates'!O23</f>
        <v>1.9693538305353018</v>
      </c>
      <c r="N16" s="101">
        <f>'# and Assessed Value of Parcels'!G23/'# and Assessed Value of Parcels'!O23</f>
        <v>0.96279666452854396</v>
      </c>
      <c r="O16" s="101">
        <f>'# and Assessed Value of Parcels'!H23/'# and Assessed Value of Parcels'!P23</f>
        <v>0.85286917759426784</v>
      </c>
      <c r="P16" s="101">
        <f t="shared" si="6"/>
        <v>0.9078329210614059</v>
      </c>
      <c r="Q16" s="102">
        <f>'Tax Levies and EQ Tax Rates'!I23</f>
        <v>35498457.659999996</v>
      </c>
      <c r="R16" s="102">
        <f t="shared" si="7"/>
        <v>32226668.510652438</v>
      </c>
      <c r="S16" s="103">
        <v>45345</v>
      </c>
      <c r="T16" s="102">
        <f t="shared" si="8"/>
        <v>710.69949301251381</v>
      </c>
      <c r="U16" s="102">
        <f>'Tax Levies and EQ Tax Rates'!C23</f>
        <v>67957093</v>
      </c>
      <c r="V16" s="103">
        <v>6616</v>
      </c>
      <c r="W16" s="104">
        <f t="shared" si="9"/>
        <v>10271.628325272068</v>
      </c>
    </row>
    <row r="17" spans="1:23" ht="15.75" x14ac:dyDescent="0.25">
      <c r="A17" s="95" t="s">
        <v>31</v>
      </c>
      <c r="B17" s="96" t="s">
        <v>36</v>
      </c>
      <c r="C17" s="97">
        <f t="shared" si="0"/>
        <v>961.40301548174057</v>
      </c>
      <c r="D17" s="18">
        <f t="shared" si="1"/>
        <v>604.38826110197374</v>
      </c>
      <c r="E17" s="18">
        <f t="shared" si="2"/>
        <v>1565.7912765837143</v>
      </c>
      <c r="F17" s="99">
        <f t="shared" si="3"/>
        <v>82547.140299890205</v>
      </c>
      <c r="G17" s="18">
        <f t="shared" si="10"/>
        <v>81734.833333333328</v>
      </c>
      <c r="H17" s="98">
        <v>163469.66666666666</v>
      </c>
      <c r="I17" s="123">
        <f t="shared" si="4"/>
        <v>80922.526366776452</v>
      </c>
      <c r="J17" s="123">
        <f t="shared" si="11"/>
        <v>146734.95478277086</v>
      </c>
      <c r="K17" s="18">
        <v>293469.90956554172</v>
      </c>
      <c r="L17" s="123">
        <f t="shared" si="5"/>
        <v>210922.76926565153</v>
      </c>
      <c r="M17" s="100">
        <f>'Tax Levies and EQ Tax Rates'!O24</f>
        <v>1.8968449674879859</v>
      </c>
      <c r="N17" s="101">
        <f>'# and Assessed Value of Parcels'!G24/'# and Assessed Value of Parcels'!O24</f>
        <v>0.95376862401402274</v>
      </c>
      <c r="O17" s="101">
        <f>'# and Assessed Value of Parcels'!H24/'# and Assessed Value of Parcels'!P24</f>
        <v>0.87694473065069911</v>
      </c>
      <c r="P17" s="101">
        <f t="shared" si="6"/>
        <v>0.91535667733236092</v>
      </c>
      <c r="Q17" s="102">
        <f>'Tax Levies and EQ Tax Rates'!I24</f>
        <v>10748447</v>
      </c>
      <c r="R17" s="102">
        <f t="shared" si="7"/>
        <v>9838662.7324029822</v>
      </c>
      <c r="S17" s="103">
        <v>16118</v>
      </c>
      <c r="T17" s="102">
        <f t="shared" si="8"/>
        <v>610.41461300427977</v>
      </c>
      <c r="U17" s="102">
        <f>'Tax Levies and EQ Tax Rates'!C24</f>
        <v>18146571</v>
      </c>
      <c r="V17" s="103">
        <v>2432</v>
      </c>
      <c r="W17" s="104">
        <f t="shared" si="9"/>
        <v>7461.5834703947367</v>
      </c>
    </row>
    <row r="18" spans="1:23" ht="15.75" x14ac:dyDescent="0.25">
      <c r="A18" s="95" t="s">
        <v>31</v>
      </c>
      <c r="B18" s="96" t="s">
        <v>37</v>
      </c>
      <c r="C18" s="97">
        <f t="shared" si="0"/>
        <v>1322.8268410132519</v>
      </c>
      <c r="D18" s="18">
        <f t="shared" si="1"/>
        <v>1074.6985137167526</v>
      </c>
      <c r="E18" s="18">
        <f t="shared" si="2"/>
        <v>2397.5253547300044</v>
      </c>
      <c r="F18" s="99">
        <f t="shared" si="3"/>
        <v>102482.18411868304</v>
      </c>
      <c r="G18" s="18">
        <f t="shared" si="10"/>
        <v>116419.83526011561</v>
      </c>
      <c r="H18" s="98">
        <v>232839.67052023122</v>
      </c>
      <c r="I18" s="123">
        <f t="shared" si="4"/>
        <v>130357.48640154817</v>
      </c>
      <c r="J18" s="123">
        <f t="shared" si="11"/>
        <v>153809.75293890372</v>
      </c>
      <c r="K18" s="18">
        <v>307619.50587780745</v>
      </c>
      <c r="L18" s="123">
        <f t="shared" si="5"/>
        <v>205137.3217591244</v>
      </c>
      <c r="M18" s="100">
        <f>'Tax Levies and EQ Tax Rates'!O25</f>
        <v>2.3394557555032858</v>
      </c>
      <c r="N18" s="101">
        <f>'# and Assessed Value of Parcels'!G25/'# and Assessed Value of Parcels'!O25</f>
        <v>0.95527753810756399</v>
      </c>
      <c r="O18" s="101">
        <f>'# and Assessed Value of Parcels'!H25/'# and Assessed Value of Parcels'!P25</f>
        <v>0.7164271010805654</v>
      </c>
      <c r="P18" s="101">
        <f t="shared" si="6"/>
        <v>0.8358523195940647</v>
      </c>
      <c r="Q18" s="102">
        <f>'Tax Levies and EQ Tax Rates'!I25</f>
        <v>104139647.23</v>
      </c>
      <c r="R18" s="102">
        <f t="shared" si="7"/>
        <v>87045365.698903114</v>
      </c>
      <c r="S18" s="103">
        <v>103639</v>
      </c>
      <c r="T18" s="102">
        <f t="shared" si="8"/>
        <v>839.89005778619162</v>
      </c>
      <c r="U18" s="102">
        <f>'Tax Levies and EQ Tax Rates'!C25</f>
        <v>190553334</v>
      </c>
      <c r="V18" s="103">
        <v>14362</v>
      </c>
      <c r="W18" s="104">
        <f t="shared" si="9"/>
        <v>13267.882885392006</v>
      </c>
    </row>
    <row r="19" spans="1:23" ht="15.75" x14ac:dyDescent="0.25">
      <c r="A19" s="95" t="s">
        <v>38</v>
      </c>
      <c r="B19" s="96" t="s">
        <v>39</v>
      </c>
      <c r="C19" s="97">
        <f t="shared" si="0"/>
        <v>1796.7719139720693</v>
      </c>
      <c r="D19" s="18">
        <f t="shared" si="1"/>
        <v>240.95138258426968</v>
      </c>
      <c r="E19" s="18">
        <f t="shared" si="2"/>
        <v>2037.7232965563389</v>
      </c>
      <c r="F19" s="99">
        <f t="shared" si="3"/>
        <v>75548.136924744787</v>
      </c>
      <c r="G19" s="18">
        <f t="shared" si="10"/>
        <v>67359.375</v>
      </c>
      <c r="H19" s="98">
        <v>134718.75</v>
      </c>
      <c r="I19" s="123">
        <f t="shared" si="4"/>
        <v>59170.613075255213</v>
      </c>
      <c r="J19" s="123">
        <f t="shared" si="11"/>
        <v>91945.551422745208</v>
      </c>
      <c r="K19" s="18">
        <v>183891.10284549042</v>
      </c>
      <c r="L19" s="123">
        <f t="shared" si="5"/>
        <v>108342.96592074563</v>
      </c>
      <c r="M19" s="100">
        <f>'Tax Levies and EQ Tax Rates'!O26</f>
        <v>2.6972515531205774</v>
      </c>
      <c r="N19" s="101">
        <f>'# and Assessed Value of Parcels'!G26/'# and Assessed Value of Parcels'!O26</f>
        <v>0.96441281138790036</v>
      </c>
      <c r="O19" s="101">
        <f>'# and Assessed Value of Parcels'!H26/'# and Assessed Value of Parcels'!P26</f>
        <v>0.88303144331890093</v>
      </c>
      <c r="P19" s="101">
        <f t="shared" si="6"/>
        <v>0.92372212735340065</v>
      </c>
      <c r="Q19" s="102">
        <f>'Tax Levies and EQ Tax Rates'!I26</f>
        <v>12047538.390000001</v>
      </c>
      <c r="R19" s="102">
        <f t="shared" si="7"/>
        <v>11128577.790982563</v>
      </c>
      <c r="S19" s="103">
        <v>9755</v>
      </c>
      <c r="T19" s="102">
        <f t="shared" si="8"/>
        <v>1140.8075644267108</v>
      </c>
      <c r="U19" s="102">
        <f>'Tax Levies and EQ Tax Rates'!C26</f>
        <v>5294981</v>
      </c>
      <c r="V19" s="103">
        <v>1780</v>
      </c>
      <c r="W19" s="104">
        <f t="shared" si="9"/>
        <v>2974.7084269662923</v>
      </c>
    </row>
    <row r="20" spans="1:23" ht="15.75" x14ac:dyDescent="0.25">
      <c r="A20" s="95" t="s">
        <v>38</v>
      </c>
      <c r="B20" s="96" t="s">
        <v>40</v>
      </c>
      <c r="C20" s="97">
        <f t="shared" si="0"/>
        <v>910.28082218399072</v>
      </c>
      <c r="D20" s="18">
        <f t="shared" si="1"/>
        <v>1107.6795341398401</v>
      </c>
      <c r="E20" s="18">
        <f t="shared" si="2"/>
        <v>2017.9603563238309</v>
      </c>
      <c r="F20" s="99">
        <f t="shared" si="3"/>
        <v>124666.37405960567</v>
      </c>
      <c r="G20" s="18">
        <f t="shared" si="10"/>
        <v>146031.25</v>
      </c>
      <c r="H20" s="98">
        <v>292062.5</v>
      </c>
      <c r="I20" s="123">
        <f t="shared" si="4"/>
        <v>167396.12594039433</v>
      </c>
      <c r="J20" s="123">
        <f t="shared" si="11"/>
        <v>240243.68690050743</v>
      </c>
      <c r="K20" s="18">
        <v>480487.37380101485</v>
      </c>
      <c r="L20" s="123">
        <f t="shared" si="5"/>
        <v>355820.99974140921</v>
      </c>
      <c r="M20" s="100">
        <f>'Tax Levies and EQ Tax Rates'!O27</f>
        <v>1.6186885770488524</v>
      </c>
      <c r="N20" s="101">
        <f>'# and Assessed Value of Parcels'!G27/'# and Assessed Value of Parcels'!O27</f>
        <v>0.97272104180945851</v>
      </c>
      <c r="O20" s="101">
        <f>'# and Assessed Value of Parcels'!H27/'# and Assessed Value of Parcels'!P27</f>
        <v>0.92205750411890763</v>
      </c>
      <c r="P20" s="101">
        <f t="shared" si="6"/>
        <v>0.94738927296418307</v>
      </c>
      <c r="Q20" s="102">
        <f>'Tax Levies and EQ Tax Rates'!I27</f>
        <v>24954149.290000003</v>
      </c>
      <c r="R20" s="102">
        <f t="shared" si="7"/>
        <v>23641293.353292789</v>
      </c>
      <c r="S20" s="103">
        <v>40905</v>
      </c>
      <c r="T20" s="102">
        <f t="shared" si="8"/>
        <v>577.95607757713697</v>
      </c>
      <c r="U20" s="102">
        <f>'Tax Levies and EQ Tax Rates'!C27</f>
        <v>66693248</v>
      </c>
      <c r="V20" s="103">
        <v>4877</v>
      </c>
      <c r="W20" s="104">
        <f t="shared" si="9"/>
        <v>13675.055977035063</v>
      </c>
    </row>
    <row r="21" spans="1:23" ht="15.75" customHeight="1" x14ac:dyDescent="0.25">
      <c r="A21" s="95" t="s">
        <v>41</v>
      </c>
      <c r="B21" s="96" t="s">
        <v>42</v>
      </c>
      <c r="C21" s="97">
        <f t="shared" si="0"/>
        <v>1199.6618777182114</v>
      </c>
      <c r="D21" s="18">
        <f t="shared" si="1"/>
        <v>130.85068651749492</v>
      </c>
      <c r="E21" s="18">
        <f t="shared" si="2"/>
        <v>1330.5125642357063</v>
      </c>
      <c r="F21" s="99">
        <f t="shared" si="3"/>
        <v>51492.10039527584</v>
      </c>
      <c r="G21" s="18">
        <f t="shared" si="10"/>
        <v>63852.06</v>
      </c>
      <c r="H21" s="98">
        <v>127704.12</v>
      </c>
      <c r="I21" s="123">
        <f t="shared" si="4"/>
        <v>76212.019604724162</v>
      </c>
      <c r="J21" s="123">
        <f t="shared" si="11"/>
        <v>129509.79102471529</v>
      </c>
      <c r="K21" s="18">
        <v>259019.58204943058</v>
      </c>
      <c r="L21" s="123">
        <f t="shared" si="5"/>
        <v>207527.48165415475</v>
      </c>
      <c r="M21" s="100">
        <f>'Tax Levies and EQ Tax Rates'!O33</f>
        <v>2.5839158900532531</v>
      </c>
      <c r="N21" s="101">
        <f>'# and Assessed Value of Parcels'!G33/'# and Assessed Value of Parcels'!O33</f>
        <v>0.8215948144603471</v>
      </c>
      <c r="O21" s="101">
        <f>'# and Assessed Value of Parcels'!H33/'# and Assessed Value of Parcels'!P33</f>
        <v>0.65337602486817126</v>
      </c>
      <c r="P21" s="101">
        <f t="shared" si="6"/>
        <v>0.73748541966425918</v>
      </c>
      <c r="Q21" s="102">
        <f>'Tax Levies and EQ Tax Rates'!I33</f>
        <v>164974488.69999999</v>
      </c>
      <c r="R21" s="102">
        <f t="shared" si="7"/>
        <v>121666280.03281608</v>
      </c>
      <c r="S21" s="103">
        <v>159732</v>
      </c>
      <c r="T21" s="102">
        <f t="shared" si="8"/>
        <v>761.69008109092783</v>
      </c>
      <c r="U21" s="102">
        <f>'Tax Levies and EQ Tax Rates'!C33</f>
        <v>50970381</v>
      </c>
      <c r="V21" s="103">
        <v>31552</v>
      </c>
      <c r="W21" s="104">
        <f t="shared" si="9"/>
        <v>1615.4405742900608</v>
      </c>
    </row>
    <row r="22" spans="1:23" ht="15.75" customHeight="1" x14ac:dyDescent="0.25">
      <c r="A22" s="95" t="s">
        <v>41</v>
      </c>
      <c r="B22" s="96" t="s">
        <v>43</v>
      </c>
      <c r="C22" s="97">
        <f t="shared" si="0"/>
        <v>1399.0576277779953</v>
      </c>
      <c r="D22" s="18">
        <f t="shared" si="1"/>
        <v>1073.2922372093024</v>
      </c>
      <c r="E22" s="18">
        <f t="shared" si="2"/>
        <v>2472.3498649872977</v>
      </c>
      <c r="F22" s="99">
        <f t="shared" si="3"/>
        <v>86720.598015794676</v>
      </c>
      <c r="G22" s="18">
        <f t="shared" si="10"/>
        <v>138989.00819672132</v>
      </c>
      <c r="H22" s="98">
        <v>277978.01639344264</v>
      </c>
      <c r="I22" s="123">
        <f t="shared" si="4"/>
        <v>191257.41837764796</v>
      </c>
      <c r="J22" s="123">
        <f t="shared" si="11"/>
        <v>148504.85725022931</v>
      </c>
      <c r="K22" s="18">
        <v>297009.71450045862</v>
      </c>
      <c r="L22" s="123">
        <f t="shared" si="5"/>
        <v>210289.11648466394</v>
      </c>
      <c r="M22" s="100">
        <f>'Tax Levies and EQ Tax Rates'!O34</f>
        <v>2.8509372877444887</v>
      </c>
      <c r="N22" s="101">
        <f>'# and Assessed Value of Parcels'!G34/'# and Assessed Value of Parcels'!O34</f>
        <v>0.95521999479302266</v>
      </c>
      <c r="O22" s="101">
        <f>'# and Assessed Value of Parcels'!H34/'# and Assessed Value of Parcels'!P34</f>
        <v>0.87552226480698236</v>
      </c>
      <c r="P22" s="101">
        <f t="shared" si="6"/>
        <v>0.91537112980000246</v>
      </c>
      <c r="Q22" s="102">
        <f>'Tax Levies and EQ Tax Rates'!I34</f>
        <v>10797816</v>
      </c>
      <c r="R22" s="102">
        <f t="shared" si="7"/>
        <v>9884009.0312925428</v>
      </c>
      <c r="S22" s="103">
        <v>11127</v>
      </c>
      <c r="T22" s="102">
        <f t="shared" si="8"/>
        <v>888.29055731936216</v>
      </c>
      <c r="U22" s="102">
        <f>'Tax Levies and EQ Tax Rates'!C34</f>
        <v>25639759</v>
      </c>
      <c r="V22" s="103">
        <v>1935</v>
      </c>
      <c r="W22" s="104">
        <f t="shared" si="9"/>
        <v>13250.521447028425</v>
      </c>
    </row>
    <row r="23" spans="1:23" ht="15.75" customHeight="1" x14ac:dyDescent="0.25">
      <c r="A23" s="95" t="s">
        <v>41</v>
      </c>
      <c r="B23" s="96" t="s">
        <v>44</v>
      </c>
      <c r="C23" s="97">
        <f t="shared" si="0"/>
        <v>1581.3648998085366</v>
      </c>
      <c r="D23" s="18">
        <f t="shared" si="1"/>
        <v>1611.9864397613303</v>
      </c>
      <c r="E23" s="18">
        <f t="shared" si="2"/>
        <v>3193.3513395698669</v>
      </c>
      <c r="F23" s="99">
        <f t="shared" si="3"/>
        <v>157210.85208242631</v>
      </c>
      <c r="G23" s="18">
        <f t="shared" si="10"/>
        <v>76659.687179487184</v>
      </c>
      <c r="H23" s="98">
        <v>153319.37435897437</v>
      </c>
      <c r="I23" s="123">
        <f t="shared" si="4"/>
        <v>-3891.4777234519424</v>
      </c>
      <c r="J23" s="123">
        <f t="shared" si="11"/>
        <v>238923.0683080219</v>
      </c>
      <c r="K23" s="18">
        <v>477846.1366160438</v>
      </c>
      <c r="L23" s="123">
        <f t="shared" si="5"/>
        <v>320635.28453361749</v>
      </c>
      <c r="M23" s="100">
        <f>'Tax Levies and EQ Tax Rates'!O35</f>
        <v>2.0312537571487619</v>
      </c>
      <c r="N23" s="101">
        <f>'# and Assessed Value of Parcels'!G35/'# and Assessed Value of Parcels'!O35</f>
        <v>0.95973428121904314</v>
      </c>
      <c r="O23" s="101">
        <f>'# and Assessed Value of Parcels'!H35/'# and Assessed Value of Parcels'!P35</f>
        <v>0.74630979334649838</v>
      </c>
      <c r="P23" s="101">
        <f t="shared" si="6"/>
        <v>0.85302203728277082</v>
      </c>
      <c r="Q23" s="102">
        <f>'Tax Levies and EQ Tax Rates'!I35</f>
        <v>64546529</v>
      </c>
      <c r="R23" s="102">
        <f t="shared" si="7"/>
        <v>55059611.667111449</v>
      </c>
      <c r="S23" s="103">
        <v>54838</v>
      </c>
      <c r="T23" s="102">
        <f t="shared" si="8"/>
        <v>1004.0412062276423</v>
      </c>
      <c r="U23" s="102">
        <f>'Tax Levies and EQ Tax Rates'!C35</f>
        <v>156760706</v>
      </c>
      <c r="V23" s="103">
        <v>7877</v>
      </c>
      <c r="W23" s="104">
        <f t="shared" si="9"/>
        <v>19901.067157547288</v>
      </c>
    </row>
    <row r="24" spans="1:23" ht="15.75" customHeight="1" x14ac:dyDescent="0.25">
      <c r="A24" s="95" t="s">
        <v>45</v>
      </c>
      <c r="B24" s="96" t="s">
        <v>46</v>
      </c>
      <c r="C24" s="97">
        <f t="shared" si="0"/>
        <v>865.00861749842352</v>
      </c>
      <c r="D24" s="18">
        <f t="shared" si="1"/>
        <v>1446.5862087223734</v>
      </c>
      <c r="E24" s="18">
        <f t="shared" si="2"/>
        <v>2311.5948262207967</v>
      </c>
      <c r="F24" s="99">
        <f t="shared" si="3"/>
        <v>142412.75815231807</v>
      </c>
      <c r="G24" s="18">
        <f t="shared" si="10"/>
        <v>70817.25</v>
      </c>
      <c r="H24" s="98">
        <v>141634.5</v>
      </c>
      <c r="I24" s="123">
        <f t="shared" si="4"/>
        <v>-778.25815231807064</v>
      </c>
      <c r="J24" s="123">
        <f t="shared" si="11"/>
        <v>184741.96654253488</v>
      </c>
      <c r="K24" s="18">
        <v>369483.93308506976</v>
      </c>
      <c r="L24" s="123">
        <f t="shared" si="5"/>
        <v>227071.17493275169</v>
      </c>
      <c r="M24" s="100">
        <f>'Tax Levies and EQ Tax Rates'!O38</f>
        <v>1.6231655479549254</v>
      </c>
      <c r="N24" s="101">
        <f>'# and Assessed Value of Parcels'!G38/'# and Assessed Value of Parcels'!O38</f>
        <v>0.966461229754909</v>
      </c>
      <c r="O24" s="101">
        <f>'# and Assessed Value of Parcels'!H38/'# and Assessed Value of Parcels'!P38</f>
        <v>0.74002784885113326</v>
      </c>
      <c r="P24" s="101">
        <f t="shared" si="6"/>
        <v>0.85324453930302113</v>
      </c>
      <c r="Q24" s="102">
        <f>'Tax Levies and EQ Tax Rates'!I38</f>
        <v>44004169</v>
      </c>
      <c r="R24" s="102">
        <f t="shared" si="7"/>
        <v>37546316.905817285</v>
      </c>
      <c r="S24" s="103">
        <v>68364</v>
      </c>
      <c r="T24" s="102">
        <f t="shared" si="8"/>
        <v>549.21182063391973</v>
      </c>
      <c r="U24" s="102">
        <f>'Tax Levies and EQ Tax Rates'!C38</f>
        <v>151105752</v>
      </c>
      <c r="V24" s="103">
        <v>8461</v>
      </c>
      <c r="W24" s="104">
        <f t="shared" si="9"/>
        <v>17859.088996572511</v>
      </c>
    </row>
    <row r="25" spans="1:23" ht="15.75" customHeight="1" x14ac:dyDescent="0.25">
      <c r="A25" s="95" t="s">
        <v>45</v>
      </c>
      <c r="B25" s="96" t="s">
        <v>47</v>
      </c>
      <c r="C25" s="97">
        <f t="shared" si="0"/>
        <v>1245.2654631723447</v>
      </c>
      <c r="D25" s="18">
        <f t="shared" si="1"/>
        <v>766.70936880290208</v>
      </c>
      <c r="E25" s="18">
        <f t="shared" si="2"/>
        <v>2011.9748319752466</v>
      </c>
      <c r="F25" s="99">
        <f t="shared" si="3"/>
        <v>76259.172019515434</v>
      </c>
      <c r="G25" s="18">
        <f t="shared" si="10"/>
        <v>97261.466257668711</v>
      </c>
      <c r="H25" s="98">
        <v>194522.93251533742</v>
      </c>
      <c r="I25" s="123">
        <f t="shared" si="4"/>
        <v>118263.76049582199</v>
      </c>
      <c r="J25" s="123">
        <f t="shared" si="11"/>
        <v>126651.92700423248</v>
      </c>
      <c r="K25" s="18">
        <v>253303.85400846496</v>
      </c>
      <c r="L25" s="123">
        <f t="shared" si="5"/>
        <v>177044.68198894954</v>
      </c>
      <c r="M25" s="100">
        <f>'Tax Levies and EQ Tax Rates'!O39</f>
        <v>2.6383381548653104</v>
      </c>
      <c r="N25" s="101">
        <f>'# and Assessed Value of Parcels'!G39/'# and Assessed Value of Parcels'!O39</f>
        <v>0.95111773472429206</v>
      </c>
      <c r="O25" s="101">
        <f>'# and Assessed Value of Parcels'!H39/'# and Assessed Value of Parcels'!P39</f>
        <v>0.86385134818830744</v>
      </c>
      <c r="P25" s="101">
        <f t="shared" si="6"/>
        <v>0.90748454145629975</v>
      </c>
      <c r="Q25" s="102">
        <f>'Tax Levies and EQ Tax Rates'!I39</f>
        <v>9542787.1500000004</v>
      </c>
      <c r="R25" s="102">
        <f t="shared" si="7"/>
        <v>8659931.8210328203</v>
      </c>
      <c r="S25" s="103">
        <v>10953</v>
      </c>
      <c r="T25" s="102">
        <f t="shared" si="8"/>
        <v>790.64473852212359</v>
      </c>
      <c r="U25" s="102">
        <f>'Tax Levies and EQ Tax Rates'!C39</f>
        <v>15656016</v>
      </c>
      <c r="V25" s="103">
        <v>1654</v>
      </c>
      <c r="W25" s="104">
        <f t="shared" si="9"/>
        <v>9465.5477629987909</v>
      </c>
    </row>
    <row r="26" spans="1:23" ht="15.75" customHeight="1" x14ac:dyDescent="0.25">
      <c r="A26" s="95" t="s">
        <v>48</v>
      </c>
      <c r="B26" s="96" t="s">
        <v>49</v>
      </c>
      <c r="C26" s="97">
        <f t="shared" si="0"/>
        <v>1620.9564565432868</v>
      </c>
      <c r="D26" s="18">
        <f t="shared" si="1"/>
        <v>1159.0961719319564</v>
      </c>
      <c r="E26" s="18">
        <f t="shared" si="2"/>
        <v>2780.0526284752432</v>
      </c>
      <c r="F26" s="99">
        <f t="shared" si="3"/>
        <v>119758.01223984158</v>
      </c>
      <c r="G26" s="18">
        <f t="shared" si="10"/>
        <v>104337.86</v>
      </c>
      <c r="H26" s="98">
        <v>208675.72</v>
      </c>
      <c r="I26" s="123">
        <f t="shared" si="4"/>
        <v>88917.707760158417</v>
      </c>
      <c r="J26" s="123">
        <f t="shared" si="11"/>
        <v>163336.86669780553</v>
      </c>
      <c r="K26" s="18">
        <v>326673.73339561105</v>
      </c>
      <c r="L26" s="123">
        <f t="shared" si="5"/>
        <v>206915.72115576948</v>
      </c>
      <c r="M26" s="100">
        <f>'Tax Levies and EQ Tax Rates'!O40</f>
        <v>2.3213917603338139</v>
      </c>
      <c r="N26" s="101">
        <f>'# and Assessed Value of Parcels'!G40/'# and Assessed Value of Parcels'!O40</f>
        <v>0.90298507462686572</v>
      </c>
      <c r="O26" s="101">
        <f>'# and Assessed Value of Parcels'!H40/'# and Assessed Value of Parcels'!P40</f>
        <v>0.53546516271707922</v>
      </c>
      <c r="P26" s="101">
        <f t="shared" si="6"/>
        <v>0.71922511867197247</v>
      </c>
      <c r="Q26" s="102">
        <f>'Tax Levies and EQ Tax Rates'!I40</f>
        <v>62587105.100000001</v>
      </c>
      <c r="R26" s="102">
        <f t="shared" si="7"/>
        <v>45014218.092882715</v>
      </c>
      <c r="S26" s="103">
        <v>43738</v>
      </c>
      <c r="T26" s="102">
        <f t="shared" si="8"/>
        <v>1029.1787025671663</v>
      </c>
      <c r="U26" s="102">
        <f>'Tax Levies and EQ Tax Rates'!C40</f>
        <v>94215916</v>
      </c>
      <c r="V26" s="103">
        <v>6584</v>
      </c>
      <c r="W26" s="104">
        <f t="shared" si="9"/>
        <v>14309.829283110572</v>
      </c>
    </row>
    <row r="27" spans="1:23" ht="15.75" customHeight="1" x14ac:dyDescent="0.25">
      <c r="A27" s="105" t="s">
        <v>48</v>
      </c>
      <c r="B27" s="106" t="s">
        <v>50</v>
      </c>
      <c r="C27" s="107">
        <f t="shared" si="0"/>
        <v>1743.2195065270014</v>
      </c>
      <c r="D27" s="108">
        <f t="shared" si="1"/>
        <v>888.84969699903195</v>
      </c>
      <c r="E27" s="108">
        <f t="shared" si="2"/>
        <v>2632.0692035260336</v>
      </c>
      <c r="F27" s="109">
        <f t="shared" si="3"/>
        <v>91218.634005232234</v>
      </c>
      <c r="G27" s="18">
        <f t="shared" si="10"/>
        <v>132152.2794117647</v>
      </c>
      <c r="H27" s="98">
        <v>264304.5588235294</v>
      </c>
      <c r="I27" s="124">
        <f t="shared" si="4"/>
        <v>173085.92481829715</v>
      </c>
      <c r="J27" s="123">
        <f>0.5*K27</f>
        <v>135807.41208423476</v>
      </c>
      <c r="K27" s="108">
        <v>271614.82416846952</v>
      </c>
      <c r="L27" s="124">
        <f t="shared" si="5"/>
        <v>180396.19016323728</v>
      </c>
      <c r="M27" s="110">
        <f>'Tax Levies and EQ Tax Rates'!O41</f>
        <v>2.885451237271389</v>
      </c>
      <c r="N27" s="111">
        <f>'# and Assessed Value of Parcels'!G41/'# and Assessed Value of Parcels'!O41</f>
        <v>0.94367816091954027</v>
      </c>
      <c r="O27" s="111">
        <f>'# and Assessed Value of Parcels'!H41/'# and Assessed Value of Parcels'!P41</f>
        <v>0.73460247640646714</v>
      </c>
      <c r="P27" s="111">
        <f t="shared" si="6"/>
        <v>0.83914031866300376</v>
      </c>
      <c r="Q27" s="112">
        <f>'Tax Levies and EQ Tax Rates'!I41</f>
        <v>38983658</v>
      </c>
      <c r="R27" s="112">
        <f t="shared" si="7"/>
        <v>32712759.196769554</v>
      </c>
      <c r="S27" s="113">
        <v>29556</v>
      </c>
      <c r="T27" s="112">
        <f t="shared" si="8"/>
        <v>1106.8060358901596</v>
      </c>
      <c r="U27" s="112">
        <f>'Tax Levies and EQ Tax Rates'!C41</f>
        <v>45342308</v>
      </c>
      <c r="V27" s="113">
        <v>4132</v>
      </c>
      <c r="W27" s="114">
        <f t="shared" si="9"/>
        <v>10973.453049370764</v>
      </c>
    </row>
    <row r="28" spans="1:23" ht="15.75" customHeight="1" x14ac:dyDescent="0.25">
      <c r="C28" s="148">
        <f>AVERAGE(C10:C27)</f>
        <v>1281.8354365272842</v>
      </c>
      <c r="D28" s="116">
        <f t="shared" ref="D28:W28" si="12">AVERAGE(D10:D27)</f>
        <v>889.10872665180261</v>
      </c>
      <c r="E28" s="116">
        <f t="shared" si="12"/>
        <v>2170.9441631790864</v>
      </c>
      <c r="F28" s="116">
        <f t="shared" si="12"/>
        <v>95500.371312172094</v>
      </c>
      <c r="G28" s="116">
        <f t="shared" si="12"/>
        <v>101771.94211288601</v>
      </c>
      <c r="H28" s="116">
        <f t="shared" si="12"/>
        <v>203543.88422577202</v>
      </c>
      <c r="I28" s="116">
        <f t="shared" si="12"/>
        <v>108043.51291359989</v>
      </c>
      <c r="J28" s="116">
        <f t="shared" si="12"/>
        <v>157338.3524550976</v>
      </c>
      <c r="K28" s="116">
        <f t="shared" si="12"/>
        <v>314676.7049101952</v>
      </c>
      <c r="L28" s="116">
        <f t="shared" si="12"/>
        <v>219176.33359802313</v>
      </c>
      <c r="M28" s="146">
        <f t="shared" si="12"/>
        <v>2.4129290581626734</v>
      </c>
      <c r="N28" s="149">
        <f t="shared" si="12"/>
        <v>0.93928186702290029</v>
      </c>
      <c r="O28" s="149">
        <f t="shared" si="12"/>
        <v>0.78564249687468224</v>
      </c>
      <c r="P28" s="149">
        <f t="shared" si="12"/>
        <v>0.86246218194879132</v>
      </c>
      <c r="Q28" s="150">
        <f t="shared" si="12"/>
        <v>54007357.601666659</v>
      </c>
      <c r="R28" s="150">
        <f t="shared" si="12"/>
        <v>42881523.388608858</v>
      </c>
      <c r="S28" s="151">
        <f t="shared" si="12"/>
        <v>59688.777777777781</v>
      </c>
      <c r="T28" s="116">
        <f t="shared" si="12"/>
        <v>813.86376922367242</v>
      </c>
      <c r="U28" s="150">
        <f t="shared" si="12"/>
        <v>74463249.833333328</v>
      </c>
      <c r="V28" s="151">
        <f t="shared" si="12"/>
        <v>9865.5</v>
      </c>
      <c r="W28" s="116">
        <f t="shared" si="12"/>
        <v>10976.65094631855</v>
      </c>
    </row>
    <row r="29" spans="1:23" ht="15.75" customHeight="1" x14ac:dyDescent="0.25"/>
    <row r="30" spans="1:23" ht="15.75" customHeight="1" x14ac:dyDescent="0.25"/>
    <row r="31" spans="1:23" ht="15.75" customHeight="1" x14ac:dyDescent="0.25"/>
    <row r="32" spans="1:2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A8:B8"/>
    <mergeCell ref="C8:F8"/>
    <mergeCell ref="M8:W8"/>
    <mergeCell ref="G8:L8"/>
  </mergeCells>
  <pageMargins left="0.7" right="0.7" top="0.75" bottom="0.75" header="0" footer="0"/>
  <pageSetup scale="3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B1000"/>
  <sheetViews>
    <sheetView topLeftCell="A5" workbookViewId="0">
      <selection activeCell="H5" sqref="H1:H1048576"/>
    </sheetView>
  </sheetViews>
  <sheetFormatPr defaultColWidth="14.42578125" defaultRowHeight="15" customHeight="1" x14ac:dyDescent="0.25"/>
  <cols>
    <col min="1" max="2" width="20.85546875" customWidth="1"/>
    <col min="3" max="16" width="15.85546875" customWidth="1"/>
    <col min="17" max="28" width="11.42578125" customWidth="1"/>
  </cols>
  <sheetData>
    <row r="1" spans="1:28" x14ac:dyDescent="0.25">
      <c r="A1" s="19" t="s">
        <v>95</v>
      </c>
    </row>
    <row r="3" spans="1:28" x14ac:dyDescent="0.25">
      <c r="A3" s="219" t="s">
        <v>93</v>
      </c>
      <c r="B3" s="209"/>
    </row>
    <row r="4" spans="1:28" x14ac:dyDescent="0.25">
      <c r="A4" s="2" t="s">
        <v>0</v>
      </c>
      <c r="B4" s="3" t="s">
        <v>1</v>
      </c>
    </row>
    <row r="5" spans="1:28" x14ac:dyDescent="0.25">
      <c r="A5" s="4" t="s">
        <v>2</v>
      </c>
      <c r="B5" s="5">
        <v>1.575</v>
      </c>
    </row>
    <row r="6" spans="1:28" x14ac:dyDescent="0.25">
      <c r="A6" s="6" t="s">
        <v>3</v>
      </c>
      <c r="B6" s="7">
        <v>6.7000000000000004E-2</v>
      </c>
    </row>
    <row r="7" spans="1:28" x14ac:dyDescent="0.25">
      <c r="A7" s="8"/>
      <c r="B7" s="8"/>
    </row>
    <row r="8" spans="1:28" ht="31.5" customHeight="1" x14ac:dyDescent="0.25">
      <c r="A8" s="220" t="s">
        <v>4</v>
      </c>
      <c r="B8" s="209"/>
      <c r="C8" s="222" t="s">
        <v>96</v>
      </c>
      <c r="D8" s="209"/>
      <c r="E8" s="145"/>
      <c r="F8" s="220" t="s">
        <v>6</v>
      </c>
      <c r="G8" s="221"/>
      <c r="H8" s="221"/>
      <c r="I8" s="221"/>
      <c r="J8" s="209"/>
      <c r="K8" s="220" t="s">
        <v>52</v>
      </c>
      <c r="L8" s="221"/>
      <c r="M8" s="221"/>
      <c r="N8" s="221"/>
      <c r="O8" s="221"/>
      <c r="P8" s="221"/>
      <c r="Q8" s="221"/>
      <c r="R8" s="209"/>
    </row>
    <row r="9" spans="1:28" ht="64.5" customHeight="1" x14ac:dyDescent="0.25">
      <c r="A9" s="93" t="s">
        <v>8</v>
      </c>
      <c r="B9" s="10" t="s">
        <v>9</v>
      </c>
      <c r="C9" s="11" t="s">
        <v>10</v>
      </c>
      <c r="D9" s="16" t="s">
        <v>13</v>
      </c>
      <c r="E9" s="13" t="s">
        <v>202</v>
      </c>
      <c r="F9" s="13" t="s">
        <v>191</v>
      </c>
      <c r="G9" s="94" t="s">
        <v>192</v>
      </c>
      <c r="H9" s="14" t="s">
        <v>201</v>
      </c>
      <c r="I9" s="14" t="s">
        <v>193</v>
      </c>
      <c r="J9" s="15" t="s">
        <v>194</v>
      </c>
      <c r="K9" s="11" t="s">
        <v>53</v>
      </c>
      <c r="L9" s="12" t="s">
        <v>15</v>
      </c>
      <c r="M9" s="12" t="s">
        <v>16</v>
      </c>
      <c r="N9" s="12" t="s">
        <v>17</v>
      </c>
      <c r="O9" s="12" t="s">
        <v>18</v>
      </c>
      <c r="P9" s="12" t="s">
        <v>19</v>
      </c>
      <c r="Q9" s="14" t="s">
        <v>20</v>
      </c>
      <c r="R9" s="16" t="s">
        <v>21</v>
      </c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.75" x14ac:dyDescent="0.25">
      <c r="A10" s="95" t="s">
        <v>25</v>
      </c>
      <c r="B10" s="96" t="s">
        <v>26</v>
      </c>
      <c r="C10" s="97">
        <f t="shared" ref="C10:C47" si="0">$B$5*R10</f>
        <v>1502.255535626206</v>
      </c>
      <c r="D10" s="99">
        <f t="shared" ref="D10:D47" si="1">C10/(K10/100)</f>
        <v>49030.197008871583</v>
      </c>
      <c r="E10" s="18">
        <f>0.5*F10</f>
        <v>30117.5</v>
      </c>
      <c r="F10" s="115">
        <v>60235</v>
      </c>
      <c r="G10" s="123">
        <f t="shared" ref="G10:G47" si="2">F10-D10</f>
        <v>11204.802991128417</v>
      </c>
      <c r="H10" s="123">
        <f>0.5*I10</f>
        <v>49181.5</v>
      </c>
      <c r="I10" s="116">
        <v>98363</v>
      </c>
      <c r="J10" s="123">
        <f t="shared" ref="J10:J47" si="3">I10-D10</f>
        <v>49332.802991128417</v>
      </c>
      <c r="K10" s="130">
        <v>3.0639394236053876</v>
      </c>
      <c r="L10" s="101">
        <f>'# and Assessed Value of Parcels'!G5/'# and Assessed Value of Parcels'!O5</f>
        <v>0.92172812725958064</v>
      </c>
      <c r="M10" s="101">
        <f>'# and Assessed Value of Parcels'!H5/'# and Assessed Value of Parcels'!P5</f>
        <v>0.73101366343961027</v>
      </c>
      <c r="N10" s="101">
        <f t="shared" ref="N10:N47" si="4">(L10+M10)/2</f>
        <v>0.8263708953495954</v>
      </c>
      <c r="O10" s="102">
        <f>'Tax Levies and EQ Tax Rates'!I5</f>
        <v>23810385</v>
      </c>
      <c r="P10" s="102">
        <f t="shared" ref="P10:P47" si="5">N10*O10</f>
        <v>19676209.171068575</v>
      </c>
      <c r="Q10" s="103">
        <v>20629</v>
      </c>
      <c r="R10" s="118">
        <f t="shared" ref="R10:R47" si="6">P10/Q10</f>
        <v>953.81303849282926</v>
      </c>
    </row>
    <row r="11" spans="1:28" ht="15.75" x14ac:dyDescent="0.25">
      <c r="A11" s="95" t="s">
        <v>27</v>
      </c>
      <c r="B11" s="96" t="s">
        <v>54</v>
      </c>
      <c r="C11" s="97">
        <f t="shared" si="0"/>
        <v>1490.7657213752905</v>
      </c>
      <c r="D11" s="99">
        <f t="shared" si="1"/>
        <v>278024.11022367724</v>
      </c>
      <c r="E11" s="18">
        <f t="shared" ref="E11:E47" si="7">0.5*F11</f>
        <v>110944</v>
      </c>
      <c r="F11" s="115">
        <v>221888</v>
      </c>
      <c r="G11" s="123">
        <f t="shared" si="2"/>
        <v>-56136.110223677242</v>
      </c>
      <c r="H11" s="123">
        <f t="shared" ref="H11:H26" si="8">0.5*I11</f>
        <v>262105</v>
      </c>
      <c r="I11" s="116">
        <v>524210</v>
      </c>
      <c r="J11" s="123">
        <f t="shared" si="3"/>
        <v>246185.88977632276</v>
      </c>
      <c r="K11" s="130">
        <v>0.53620015910704022</v>
      </c>
      <c r="L11" s="101">
        <f>'# and Assessed Value of Parcels'!G6/'# and Assessed Value of Parcels'!O6</f>
        <v>0.96785505552308593</v>
      </c>
      <c r="M11" s="101">
        <f>'# and Assessed Value of Parcels'!H6/'# and Assessed Value of Parcels'!P6</f>
        <v>0.93507137588122136</v>
      </c>
      <c r="N11" s="101">
        <f t="shared" si="4"/>
        <v>0.95146321570215364</v>
      </c>
      <c r="O11" s="102">
        <f>'Tax Levies and EQ Tax Rates'!I6</f>
        <v>10090281.039999999</v>
      </c>
      <c r="P11" s="102">
        <f t="shared" si="5"/>
        <v>9600531.2456568703</v>
      </c>
      <c r="Q11" s="103">
        <v>10143</v>
      </c>
      <c r="R11" s="119">
        <f t="shared" si="6"/>
        <v>946.51791833351774</v>
      </c>
    </row>
    <row r="12" spans="1:28" ht="15.75" x14ac:dyDescent="0.25">
      <c r="A12" s="95" t="s">
        <v>27</v>
      </c>
      <c r="B12" s="96" t="s">
        <v>28</v>
      </c>
      <c r="C12" s="97">
        <f t="shared" si="0"/>
        <v>1546.0273946746568</v>
      </c>
      <c r="D12" s="99">
        <f t="shared" si="1"/>
        <v>185247.22747611752</v>
      </c>
      <c r="E12" s="18">
        <f t="shared" si="7"/>
        <v>186862</v>
      </c>
      <c r="F12" s="115">
        <v>373724</v>
      </c>
      <c r="G12" s="123">
        <f t="shared" si="2"/>
        <v>188476.77252388248</v>
      </c>
      <c r="H12" s="123">
        <f t="shared" si="8"/>
        <v>213444</v>
      </c>
      <c r="I12" s="116">
        <v>426888</v>
      </c>
      <c r="J12" s="123">
        <f t="shared" si="3"/>
        <v>241640.77252388248</v>
      </c>
      <c r="K12" s="130">
        <v>0.8345751867589889</v>
      </c>
      <c r="L12" s="101">
        <f>'# and Assessed Value of Parcels'!G7/'# and Assessed Value of Parcels'!O7</f>
        <v>0.98144233027953953</v>
      </c>
      <c r="M12" s="101">
        <f>'# and Assessed Value of Parcels'!H7/'# and Assessed Value of Parcels'!P7</f>
        <v>0.94433258765869066</v>
      </c>
      <c r="N12" s="101">
        <f t="shared" si="4"/>
        <v>0.9628874589691151</v>
      </c>
      <c r="O12" s="102">
        <f>'Tax Levies and EQ Tax Rates'!I7</f>
        <v>17251960.34</v>
      </c>
      <c r="P12" s="102">
        <f t="shared" si="5"/>
        <v>16611696.254018551</v>
      </c>
      <c r="Q12" s="103">
        <v>16923</v>
      </c>
      <c r="R12" s="119">
        <f t="shared" si="6"/>
        <v>981.60469503152819</v>
      </c>
    </row>
    <row r="13" spans="1:28" ht="15.75" x14ac:dyDescent="0.25">
      <c r="A13" s="95" t="s">
        <v>27</v>
      </c>
      <c r="B13" s="96" t="s">
        <v>55</v>
      </c>
      <c r="C13" s="97">
        <f t="shared" si="0"/>
        <v>1761.2187894954561</v>
      </c>
      <c r="D13" s="99">
        <f t="shared" si="1"/>
        <v>291944.65650307323</v>
      </c>
      <c r="E13" s="18">
        <f t="shared" si="7"/>
        <v>183086.5</v>
      </c>
      <c r="F13" s="115">
        <v>366173</v>
      </c>
      <c r="G13" s="123">
        <f t="shared" si="2"/>
        <v>74228.343496926769</v>
      </c>
      <c r="H13" s="123">
        <f t="shared" si="8"/>
        <v>249394.5</v>
      </c>
      <c r="I13" s="116">
        <v>498789</v>
      </c>
      <c r="J13" s="123">
        <f t="shared" si="3"/>
        <v>206844.34349692677</v>
      </c>
      <c r="K13" s="130">
        <v>0.60327145925238612</v>
      </c>
      <c r="L13" s="101">
        <f>'# and Assessed Value of Parcels'!G8/'# and Assessed Value of Parcels'!O8</f>
        <v>0.95667319834530806</v>
      </c>
      <c r="M13" s="101">
        <f>'# and Assessed Value of Parcels'!H8/'# and Assessed Value of Parcels'!P8</f>
        <v>0.84635298341916665</v>
      </c>
      <c r="N13" s="101">
        <f t="shared" si="4"/>
        <v>0.9015130908822373</v>
      </c>
      <c r="O13" s="102">
        <f>'Tax Levies and EQ Tax Rates'!I8</f>
        <v>15812581.220000001</v>
      </c>
      <c r="P13" s="102">
        <f t="shared" si="5"/>
        <v>14255248.97046862</v>
      </c>
      <c r="Q13" s="103">
        <v>12748</v>
      </c>
      <c r="R13" s="119">
        <f t="shared" si="6"/>
        <v>1118.2341520606071</v>
      </c>
    </row>
    <row r="14" spans="1:28" ht="15.75" x14ac:dyDescent="0.25">
      <c r="A14" s="95" t="s">
        <v>27</v>
      </c>
      <c r="B14" s="96" t="s">
        <v>56</v>
      </c>
      <c r="C14" s="97">
        <f t="shared" si="0"/>
        <v>1834.0875778019156</v>
      </c>
      <c r="D14" s="99">
        <f t="shared" si="1"/>
        <v>249996.19968217023</v>
      </c>
      <c r="E14" s="18">
        <f t="shared" si="7"/>
        <v>234327.5</v>
      </c>
      <c r="F14" s="115">
        <v>468655</v>
      </c>
      <c r="G14" s="123">
        <f t="shared" si="2"/>
        <v>218658.80031782977</v>
      </c>
      <c r="H14" s="123">
        <f t="shared" si="8"/>
        <v>229733.5</v>
      </c>
      <c r="I14" s="116">
        <v>459467</v>
      </c>
      <c r="J14" s="123">
        <f t="shared" si="3"/>
        <v>209470.80031782977</v>
      </c>
      <c r="K14" s="130">
        <v>0.73364618347545341</v>
      </c>
      <c r="L14" s="101">
        <f>'# and Assessed Value of Parcels'!G9/'# and Assessed Value of Parcels'!O9</f>
        <v>0.91940211019929663</v>
      </c>
      <c r="M14" s="101">
        <f>'# and Assessed Value of Parcels'!H9/'# and Assessed Value of Parcels'!P9</f>
        <v>0.75552222177542272</v>
      </c>
      <c r="N14" s="101">
        <f t="shared" si="4"/>
        <v>0.83746216598735967</v>
      </c>
      <c r="O14" s="102">
        <f>'Tax Levies and EQ Tax Rates'!I9</f>
        <v>15687741</v>
      </c>
      <c r="P14" s="102">
        <f t="shared" si="5"/>
        <v>13137889.557308707</v>
      </c>
      <c r="Q14" s="103">
        <v>11282</v>
      </c>
      <c r="R14" s="119">
        <f t="shared" si="6"/>
        <v>1164.5000493980417</v>
      </c>
    </row>
    <row r="15" spans="1:28" ht="15.75" x14ac:dyDescent="0.25">
      <c r="A15" s="95" t="s">
        <v>57</v>
      </c>
      <c r="B15" s="96" t="s">
        <v>58</v>
      </c>
      <c r="C15" s="97">
        <f t="shared" si="0"/>
        <v>615.59801474951246</v>
      </c>
      <c r="D15" s="99">
        <f t="shared" si="1"/>
        <v>157779.42707138954</v>
      </c>
      <c r="E15" s="18">
        <f t="shared" si="7"/>
        <v>233196.0824213406</v>
      </c>
      <c r="F15" s="115">
        <v>466392.1648426812</v>
      </c>
      <c r="G15" s="123">
        <f t="shared" si="2"/>
        <v>308612.73777129163</v>
      </c>
      <c r="H15" s="123">
        <f t="shared" si="8"/>
        <v>153418</v>
      </c>
      <c r="I15" s="116">
        <v>306836</v>
      </c>
      <c r="J15" s="123">
        <f t="shared" si="3"/>
        <v>149056.57292861046</v>
      </c>
      <c r="K15" s="130">
        <v>0.39016367734113805</v>
      </c>
      <c r="L15" s="101">
        <f>'# and Assessed Value of Parcels'!G10/'# and Assessed Value of Parcels'!O10</f>
        <v>0.96040113139624583</v>
      </c>
      <c r="M15" s="101">
        <f>'# and Assessed Value of Parcels'!H10/'# and Assessed Value of Parcels'!P10</f>
        <v>0.85301721781778006</v>
      </c>
      <c r="N15" s="101">
        <f t="shared" si="4"/>
        <v>0.90670917460701295</v>
      </c>
      <c r="O15" s="102">
        <f>'Tax Levies and EQ Tax Rates'!I10</f>
        <v>5518999.9199999999</v>
      </c>
      <c r="P15" s="102">
        <f t="shared" si="5"/>
        <v>5004127.8621193701</v>
      </c>
      <c r="Q15" s="103">
        <v>12803</v>
      </c>
      <c r="R15" s="119">
        <f t="shared" si="6"/>
        <v>390.85588238064281</v>
      </c>
    </row>
    <row r="16" spans="1:28" ht="15.75" x14ac:dyDescent="0.25">
      <c r="A16" s="95" t="s">
        <v>57</v>
      </c>
      <c r="B16" s="96" t="s">
        <v>59</v>
      </c>
      <c r="C16" s="97">
        <f t="shared" si="0"/>
        <v>788.0142502641653</v>
      </c>
      <c r="D16" s="99">
        <f t="shared" si="1"/>
        <v>208710.38205926865</v>
      </c>
      <c r="E16" s="18">
        <f t="shared" si="7"/>
        <v>54674.666666666664</v>
      </c>
      <c r="F16" s="115">
        <v>109349.33333333333</v>
      </c>
      <c r="G16" s="123">
        <f t="shared" si="2"/>
        <v>-99361.048725935325</v>
      </c>
      <c r="H16" s="123">
        <f t="shared" si="8"/>
        <v>185392</v>
      </c>
      <c r="I16" s="116">
        <v>370784</v>
      </c>
      <c r="J16" s="123">
        <f t="shared" si="3"/>
        <v>162073.61794073135</v>
      </c>
      <c r="K16" s="130">
        <v>0.37756351288762841</v>
      </c>
      <c r="L16" s="101">
        <f>'# and Assessed Value of Parcels'!G11/'# and Assessed Value of Parcels'!O11</f>
        <v>0.9585129938235637</v>
      </c>
      <c r="M16" s="101">
        <f>'# and Assessed Value of Parcels'!H11/'# and Assessed Value of Parcels'!P11</f>
        <v>0.91282274937277808</v>
      </c>
      <c r="N16" s="101">
        <f t="shared" si="4"/>
        <v>0.93566787159817089</v>
      </c>
      <c r="O16" s="102">
        <f>'Tax Levies and EQ Tax Rates'!I11</f>
        <v>13099197.74</v>
      </c>
      <c r="P16" s="102">
        <f t="shared" si="5"/>
        <v>12256498.469029371</v>
      </c>
      <c r="Q16" s="103">
        <v>24497</v>
      </c>
      <c r="R16" s="119">
        <f t="shared" si="6"/>
        <v>500.32650810423195</v>
      </c>
    </row>
    <row r="17" spans="1:18" ht="15.75" x14ac:dyDescent="0.25">
      <c r="A17" s="95" t="s">
        <v>57</v>
      </c>
      <c r="B17" s="96" t="s">
        <v>60</v>
      </c>
      <c r="C17" s="97">
        <f t="shared" si="0"/>
        <v>856.6450989996813</v>
      </c>
      <c r="D17" s="99">
        <f t="shared" si="1"/>
        <v>84497.331136696463</v>
      </c>
      <c r="E17" s="18">
        <f t="shared" si="7"/>
        <v>46953.375</v>
      </c>
      <c r="F17" s="115">
        <v>93906.75</v>
      </c>
      <c r="G17" s="123">
        <f t="shared" si="2"/>
        <v>9409.4188633035374</v>
      </c>
      <c r="H17" s="123">
        <f t="shared" si="8"/>
        <v>83156</v>
      </c>
      <c r="I17" s="116">
        <v>166312</v>
      </c>
      <c r="J17" s="123">
        <f t="shared" si="3"/>
        <v>81814.668863303537</v>
      </c>
      <c r="K17" s="130">
        <v>1.0138132027079465</v>
      </c>
      <c r="L17" s="101">
        <f>'# and Assessed Value of Parcels'!G12/'# and Assessed Value of Parcels'!O12</f>
        <v>0.9812830932151213</v>
      </c>
      <c r="M17" s="101">
        <f>'# and Assessed Value of Parcels'!H12/'# and Assessed Value of Parcels'!P12</f>
        <v>0.9332896028243699</v>
      </c>
      <c r="N17" s="101">
        <f t="shared" si="4"/>
        <v>0.95728634801974555</v>
      </c>
      <c r="O17" s="102">
        <f>'Tax Levies and EQ Tax Rates'!I12</f>
        <v>15285484.98</v>
      </c>
      <c r="P17" s="102">
        <f t="shared" si="5"/>
        <v>14632586.094214873</v>
      </c>
      <c r="Q17" s="103">
        <v>26903</v>
      </c>
      <c r="R17" s="119">
        <f t="shared" si="6"/>
        <v>543.90165015852779</v>
      </c>
    </row>
    <row r="18" spans="1:18" ht="15.75" x14ac:dyDescent="0.25">
      <c r="A18" s="95" t="s">
        <v>57</v>
      </c>
      <c r="B18" s="96" t="s">
        <v>61</v>
      </c>
      <c r="C18" s="97">
        <f t="shared" si="0"/>
        <v>606.64587355662059</v>
      </c>
      <c r="D18" s="99">
        <f t="shared" si="1"/>
        <v>178815.73904069833</v>
      </c>
      <c r="E18" s="18">
        <f t="shared" si="7"/>
        <v>65732.524999999994</v>
      </c>
      <c r="F18" s="115">
        <v>131465.04999999999</v>
      </c>
      <c r="G18" s="123">
        <f t="shared" si="2"/>
        <v>-47350.689040698344</v>
      </c>
      <c r="H18" s="123">
        <f t="shared" si="8"/>
        <v>119267</v>
      </c>
      <c r="I18" s="116">
        <v>238534</v>
      </c>
      <c r="J18" s="123">
        <f t="shared" si="3"/>
        <v>59718.260959301668</v>
      </c>
      <c r="K18" s="130">
        <v>0.33925753784936591</v>
      </c>
      <c r="L18" s="101">
        <f>'# and Assessed Value of Parcels'!G13/'# and Assessed Value of Parcels'!O13</f>
        <v>0.96051204165762638</v>
      </c>
      <c r="M18" s="101">
        <f>'# and Assessed Value of Parcels'!H13/'# and Assessed Value of Parcels'!P13</f>
        <v>0.90183161244513477</v>
      </c>
      <c r="N18" s="101">
        <f t="shared" si="4"/>
        <v>0.93117182705138057</v>
      </c>
      <c r="O18" s="102">
        <f>'Tax Levies and EQ Tax Rates'!I13</f>
        <v>4267546.8</v>
      </c>
      <c r="P18" s="102">
        <f t="shared" si="5"/>
        <v>3973819.3507832726</v>
      </c>
      <c r="Q18" s="103">
        <v>10317</v>
      </c>
      <c r="R18" s="119">
        <f t="shared" si="6"/>
        <v>385.17198321055275</v>
      </c>
    </row>
    <row r="19" spans="1:18" ht="15.75" x14ac:dyDescent="0.25">
      <c r="A19" s="95" t="s">
        <v>62</v>
      </c>
      <c r="B19" s="96" t="s">
        <v>63</v>
      </c>
      <c r="C19" s="97">
        <f t="shared" si="0"/>
        <v>537.75317520043325</v>
      </c>
      <c r="D19" s="99">
        <f t="shared" si="1"/>
        <v>141282.19682598178</v>
      </c>
      <c r="E19" s="18">
        <f t="shared" si="7"/>
        <v>49310.17105263158</v>
      </c>
      <c r="F19" s="115">
        <v>98620.34210526316</v>
      </c>
      <c r="G19" s="123">
        <f t="shared" si="2"/>
        <v>-42661.85472071862</v>
      </c>
      <c r="H19" s="123">
        <f t="shared" si="8"/>
        <v>59244.5</v>
      </c>
      <c r="I19" s="116">
        <v>118489</v>
      </c>
      <c r="J19" s="123">
        <f t="shared" si="3"/>
        <v>-22793.19682598178</v>
      </c>
      <c r="K19" s="130">
        <v>0.38062345241048834</v>
      </c>
      <c r="L19" s="101">
        <f>'# and Assessed Value of Parcels'!G14/'# and Assessed Value of Parcels'!O14</f>
        <v>0.94935451837140017</v>
      </c>
      <c r="M19" s="101">
        <f>'# and Assessed Value of Parcels'!H14/'# and Assessed Value of Parcels'!P14</f>
        <v>0.95309491622629139</v>
      </c>
      <c r="N19" s="101">
        <f t="shared" si="4"/>
        <v>0.95122471729884572</v>
      </c>
      <c r="O19" s="102">
        <f>'Tax Levies and EQ Tax Rates'!I14</f>
        <v>502154.1</v>
      </c>
      <c r="P19" s="102">
        <f t="shared" si="5"/>
        <v>477661.39181295631</v>
      </c>
      <c r="Q19" s="103">
        <v>1399</v>
      </c>
      <c r="R19" s="119">
        <f t="shared" si="6"/>
        <v>341.43058742884654</v>
      </c>
    </row>
    <row r="20" spans="1:18" ht="15.75" x14ac:dyDescent="0.25">
      <c r="A20" s="95" t="s">
        <v>62</v>
      </c>
      <c r="B20" s="120" t="s">
        <v>64</v>
      </c>
      <c r="C20" s="97">
        <f t="shared" si="0"/>
        <v>360.99800559069888</v>
      </c>
      <c r="D20" s="99">
        <f t="shared" si="1"/>
        <v>73853.745099926149</v>
      </c>
      <c r="E20" s="18">
        <f t="shared" si="7"/>
        <v>43528.828571428574</v>
      </c>
      <c r="F20" s="115">
        <v>87057.657142857148</v>
      </c>
      <c r="G20" s="123">
        <f t="shared" si="2"/>
        <v>13203.912042930999</v>
      </c>
      <c r="H20" s="123">
        <f t="shared" si="8"/>
        <v>71421.5</v>
      </c>
      <c r="I20" s="116">
        <v>142843</v>
      </c>
      <c r="J20" s="123">
        <f t="shared" si="3"/>
        <v>68989.254900073851</v>
      </c>
      <c r="K20" s="130">
        <v>0.48880121800493487</v>
      </c>
      <c r="L20" s="101">
        <f>'# and Assessed Value of Parcels'!G15/'# and Assessed Value of Parcels'!O15</f>
        <v>0.95576808129109381</v>
      </c>
      <c r="M20" s="101">
        <f>'# and Assessed Value of Parcels'!H15/'# and Assessed Value of Parcels'!P15</f>
        <v>0.9003796958191036</v>
      </c>
      <c r="N20" s="101">
        <f t="shared" si="4"/>
        <v>0.92807388855509876</v>
      </c>
      <c r="O20" s="102">
        <f>'Tax Levies and EQ Tax Rates'!I15</f>
        <v>1369687.7</v>
      </c>
      <c r="P20" s="102">
        <f t="shared" si="5"/>
        <v>1271171.3898450895</v>
      </c>
      <c r="Q20" s="103">
        <v>5546</v>
      </c>
      <c r="R20" s="119">
        <f t="shared" si="6"/>
        <v>229.20508291472945</v>
      </c>
    </row>
    <row r="21" spans="1:18" ht="15.75" customHeight="1" x14ac:dyDescent="0.25">
      <c r="A21" s="95" t="s">
        <v>62</v>
      </c>
      <c r="B21" s="96" t="s">
        <v>65</v>
      </c>
      <c r="C21" s="97">
        <f t="shared" si="0"/>
        <v>595.63621702821774</v>
      </c>
      <c r="D21" s="99">
        <f t="shared" si="1"/>
        <v>109243.37151696824</v>
      </c>
      <c r="E21" s="18">
        <f t="shared" si="7"/>
        <v>18042.5</v>
      </c>
      <c r="F21" s="115">
        <v>36085</v>
      </c>
      <c r="G21" s="123">
        <f t="shared" si="2"/>
        <v>-73158.37151696824</v>
      </c>
      <c r="H21" s="123">
        <f t="shared" si="8"/>
        <v>82539</v>
      </c>
      <c r="I21" s="116">
        <v>165078</v>
      </c>
      <c r="J21" s="123">
        <f t="shared" si="3"/>
        <v>55834.62848303176</v>
      </c>
      <c r="K21" s="130">
        <v>0.54523785631762611</v>
      </c>
      <c r="L21" s="101">
        <f>'# and Assessed Value of Parcels'!G16/'# and Assessed Value of Parcels'!O16</f>
        <v>0.96660808435852374</v>
      </c>
      <c r="M21" s="101">
        <f>'# and Assessed Value of Parcels'!H16/'# and Assessed Value of Parcels'!P16</f>
        <v>0.93631576070851408</v>
      </c>
      <c r="N21" s="101">
        <f t="shared" si="4"/>
        <v>0.95146192253351891</v>
      </c>
      <c r="O21" s="102">
        <f>'Tax Levies and EQ Tax Rates'!I16</f>
        <v>1227003.3700000001</v>
      </c>
      <c r="P21" s="102">
        <f t="shared" si="5"/>
        <v>1167446.9853753068</v>
      </c>
      <c r="Q21" s="103">
        <v>3087</v>
      </c>
      <c r="R21" s="119">
        <f t="shared" si="6"/>
        <v>378.18172509728112</v>
      </c>
    </row>
    <row r="22" spans="1:18" ht="15.75" customHeight="1" x14ac:dyDescent="0.25">
      <c r="A22" s="133" t="s">
        <v>29</v>
      </c>
      <c r="B22" s="134" t="s">
        <v>64</v>
      </c>
      <c r="C22" s="135">
        <f t="shared" si="0"/>
        <v>1956.5816465445353</v>
      </c>
      <c r="D22" s="136">
        <f t="shared" si="1"/>
        <v>450021.93892176339</v>
      </c>
      <c r="E22" s="18">
        <f t="shared" si="7"/>
        <v>109844.5</v>
      </c>
      <c r="F22" s="143">
        <v>219689</v>
      </c>
      <c r="G22" s="137">
        <f t="shared" si="2"/>
        <v>-230332.93892176339</v>
      </c>
      <c r="H22" s="123">
        <f t="shared" si="8"/>
        <v>301609.22180063894</v>
      </c>
      <c r="I22" s="144">
        <v>603218.44360127789</v>
      </c>
      <c r="J22" s="137">
        <f t="shared" si="3"/>
        <v>153196.5046795145</v>
      </c>
      <c r="K22" s="138">
        <v>0.43477472481284701</v>
      </c>
      <c r="L22" s="139">
        <f>'[1]# and Assessed Value of Parcels'!G17/'[1]# and Assessed Value of Parcels'!O17</f>
        <v>0.78907203907203904</v>
      </c>
      <c r="M22" s="139">
        <f>'[1]# and Assessed Value of Parcels'!H17/'[1]# and Assessed Value of Parcels'!P17</f>
        <v>0.44402101784565112</v>
      </c>
      <c r="N22" s="139">
        <f t="shared" si="4"/>
        <v>0.61654652845884506</v>
      </c>
      <c r="O22" s="140">
        <f>'[1]Tax Levies and EQ Tax Rates'!I17</f>
        <v>15861222.08</v>
      </c>
      <c r="P22" s="140">
        <f t="shared" si="5"/>
        <v>9779181.4105387814</v>
      </c>
      <c r="Q22" s="141">
        <v>7872</v>
      </c>
      <c r="R22" s="142">
        <f t="shared" si="6"/>
        <v>1242.2740612981177</v>
      </c>
    </row>
    <row r="23" spans="1:18" ht="15.75" customHeight="1" x14ac:dyDescent="0.25">
      <c r="A23" s="95" t="s">
        <v>29</v>
      </c>
      <c r="B23" s="96" t="s">
        <v>30</v>
      </c>
      <c r="C23" s="97">
        <f t="shared" si="0"/>
        <v>883.15754796156727</v>
      </c>
      <c r="D23" s="99">
        <f t="shared" si="1"/>
        <v>52462.395888434308</v>
      </c>
      <c r="E23" s="18">
        <f t="shared" si="7"/>
        <v>82264.833333333328</v>
      </c>
      <c r="F23" s="115">
        <v>164529.66666666666</v>
      </c>
      <c r="G23" s="123">
        <f t="shared" si="2"/>
        <v>112067.27077823234</v>
      </c>
      <c r="H23" s="123">
        <f t="shared" si="8"/>
        <v>103417.5</v>
      </c>
      <c r="I23" s="116">
        <v>206835</v>
      </c>
      <c r="J23" s="123">
        <f t="shared" si="3"/>
        <v>154372.60411156568</v>
      </c>
      <c r="K23" s="130">
        <v>1.6834106277564524</v>
      </c>
      <c r="L23" s="101">
        <f>'# and Assessed Value of Parcels'!G18/'# and Assessed Value of Parcels'!O18</f>
        <v>0.84162883700821445</v>
      </c>
      <c r="M23" s="101">
        <f>'# and Assessed Value of Parcels'!H18/'# and Assessed Value of Parcels'!P18</f>
        <v>0.54365223337971258</v>
      </c>
      <c r="N23" s="101">
        <f t="shared" si="4"/>
        <v>0.69264053519396351</v>
      </c>
      <c r="O23" s="102">
        <f>'Tax Levies and EQ Tax Rates'!I18</f>
        <v>252218004</v>
      </c>
      <c r="P23" s="102">
        <f t="shared" si="5"/>
        <v>174696413.27611324</v>
      </c>
      <c r="Q23" s="103">
        <v>311549</v>
      </c>
      <c r="R23" s="119">
        <f t="shared" si="6"/>
        <v>560.73495108670943</v>
      </c>
    </row>
    <row r="24" spans="1:18" ht="15.75" customHeight="1" x14ac:dyDescent="0.25">
      <c r="A24" s="95" t="s">
        <v>66</v>
      </c>
      <c r="B24" s="96" t="s">
        <v>67</v>
      </c>
      <c r="C24" s="97">
        <f t="shared" si="0"/>
        <v>674.83855835646182</v>
      </c>
      <c r="D24" s="99">
        <f t="shared" si="1"/>
        <v>227723.18459105154</v>
      </c>
      <c r="E24" s="18">
        <f t="shared" si="7"/>
        <v>30345.75</v>
      </c>
      <c r="F24" s="115">
        <v>60691.5</v>
      </c>
      <c r="G24" s="123">
        <f t="shared" si="2"/>
        <v>-167031.68459105154</v>
      </c>
      <c r="H24" s="123">
        <f t="shared" si="8"/>
        <v>189913.5</v>
      </c>
      <c r="I24" s="116">
        <v>379827</v>
      </c>
      <c r="J24" s="123">
        <f t="shared" si="3"/>
        <v>152103.81540894846</v>
      </c>
      <c r="K24" s="130">
        <v>0.2963416129843548</v>
      </c>
      <c r="L24" s="101">
        <f>'# and Assessed Value of Parcels'!G19/'# and Assessed Value of Parcels'!O19</f>
        <v>0.96383866481223923</v>
      </c>
      <c r="M24" s="101">
        <f>'# and Assessed Value of Parcels'!H19/'# and Assessed Value of Parcels'!P19</f>
        <v>0.93906348074760293</v>
      </c>
      <c r="N24" s="101">
        <f t="shared" si="4"/>
        <v>0.95145107277992103</v>
      </c>
      <c r="O24" s="102">
        <f>'Tax Levies and EQ Tax Rates'!I19</f>
        <v>2789807.14</v>
      </c>
      <c r="P24" s="102">
        <f t="shared" si="5"/>
        <v>2654364.9962020833</v>
      </c>
      <c r="Q24" s="103">
        <v>6195</v>
      </c>
      <c r="R24" s="119">
        <f t="shared" si="6"/>
        <v>428.46892594061069</v>
      </c>
    </row>
    <row r="25" spans="1:18" ht="15.75" customHeight="1" x14ac:dyDescent="0.25">
      <c r="A25" s="95" t="s">
        <v>31</v>
      </c>
      <c r="B25" s="96" t="s">
        <v>32</v>
      </c>
      <c r="C25" s="97">
        <f t="shared" si="0"/>
        <v>1240.4095654979606</v>
      </c>
      <c r="D25" s="99">
        <f t="shared" si="1"/>
        <v>214472.09595880503</v>
      </c>
      <c r="E25" s="18">
        <f t="shared" si="7"/>
        <v>114092.91666666667</v>
      </c>
      <c r="F25" s="115">
        <v>228185.83333333334</v>
      </c>
      <c r="G25" s="123">
        <f t="shared" si="2"/>
        <v>13713.737374528311</v>
      </c>
      <c r="H25" s="123">
        <f t="shared" si="8"/>
        <v>190156</v>
      </c>
      <c r="I25" s="116">
        <v>380312</v>
      </c>
      <c r="J25" s="123">
        <f t="shared" si="3"/>
        <v>165839.90404119497</v>
      </c>
      <c r="K25" s="130">
        <v>0.5783547551734719</v>
      </c>
      <c r="L25" s="101">
        <f>'# and Assessed Value of Parcels'!G20/'# and Assessed Value of Parcels'!O20</f>
        <v>0.95667524385135538</v>
      </c>
      <c r="M25" s="101">
        <f>'# and Assessed Value of Parcels'!H20/'# and Assessed Value of Parcels'!P20</f>
        <v>0.81220548036186702</v>
      </c>
      <c r="N25" s="101">
        <f t="shared" si="4"/>
        <v>0.88444036210661126</v>
      </c>
      <c r="O25" s="102">
        <f>'Tax Levies and EQ Tax Rates'!I20</f>
        <v>44269379.890000001</v>
      </c>
      <c r="P25" s="102">
        <f t="shared" si="5"/>
        <v>39153626.380146734</v>
      </c>
      <c r="Q25" s="103">
        <v>49715</v>
      </c>
      <c r="R25" s="119">
        <f t="shared" si="6"/>
        <v>787.561628887594</v>
      </c>
    </row>
    <row r="26" spans="1:18" ht="15.75" customHeight="1" x14ac:dyDescent="0.25">
      <c r="A26" s="95" t="s">
        <v>31</v>
      </c>
      <c r="B26" s="96" t="s">
        <v>33</v>
      </c>
      <c r="C26" s="97">
        <f t="shared" si="0"/>
        <v>827.79154065940361</v>
      </c>
      <c r="D26" s="99">
        <f t="shared" si="1"/>
        <v>187406.92318070465</v>
      </c>
      <c r="E26" s="18">
        <f t="shared" si="7"/>
        <v>65565.357142857145</v>
      </c>
      <c r="F26" s="115">
        <v>131130.71428571429</v>
      </c>
      <c r="G26" s="123">
        <f t="shared" si="2"/>
        <v>-56276.208894990355</v>
      </c>
      <c r="H26" s="123">
        <f t="shared" si="8"/>
        <v>187762.5</v>
      </c>
      <c r="I26" s="116">
        <v>375525</v>
      </c>
      <c r="J26" s="123">
        <f t="shared" si="3"/>
        <v>188118.07681929535</v>
      </c>
      <c r="K26" s="130">
        <v>0.44170808986667826</v>
      </c>
      <c r="L26" s="101">
        <f>'# and Assessed Value of Parcels'!G21/'# and Assessed Value of Parcels'!O21</f>
        <v>0.97122792306482886</v>
      </c>
      <c r="M26" s="101">
        <f>'# and Assessed Value of Parcels'!H21/'# and Assessed Value of Parcels'!P21</f>
        <v>0.88589383044965919</v>
      </c>
      <c r="N26" s="101">
        <f t="shared" si="4"/>
        <v>0.92856087675724397</v>
      </c>
      <c r="O26" s="102">
        <f>'Tax Levies and EQ Tax Rates'!I21</f>
        <v>37853002.5</v>
      </c>
      <c r="P26" s="102">
        <f t="shared" si="5"/>
        <v>35148817.189294145</v>
      </c>
      <c r="Q26" s="103">
        <v>66876</v>
      </c>
      <c r="R26" s="119">
        <f t="shared" si="6"/>
        <v>525.58193057739913</v>
      </c>
    </row>
    <row r="27" spans="1:18" ht="15.75" customHeight="1" x14ac:dyDescent="0.25">
      <c r="A27" s="95" t="s">
        <v>31</v>
      </c>
      <c r="B27" s="96" t="s">
        <v>34</v>
      </c>
      <c r="C27" s="97">
        <f t="shared" si="0"/>
        <v>1308.2275298797533</v>
      </c>
      <c r="D27" s="99">
        <f t="shared" si="1"/>
        <v>161013.08186051811</v>
      </c>
      <c r="E27" s="18">
        <f t="shared" si="7"/>
        <v>153039.90625</v>
      </c>
      <c r="F27" s="115">
        <v>306079.8125</v>
      </c>
      <c r="G27" s="123">
        <f t="shared" si="2"/>
        <v>145066.73063948189</v>
      </c>
      <c r="H27" s="123">
        <f>0.5*I27</f>
        <v>162441.5</v>
      </c>
      <c r="I27" s="116">
        <v>324883</v>
      </c>
      <c r="J27" s="123">
        <f t="shared" si="3"/>
        <v>163869.91813948189</v>
      </c>
      <c r="K27" s="130">
        <v>0.81249766463885231</v>
      </c>
      <c r="L27" s="101">
        <f>'# and Assessed Value of Parcels'!G22/'# and Assessed Value of Parcels'!O22</f>
        <v>0.92460317460317465</v>
      </c>
      <c r="M27" s="101">
        <f>'# and Assessed Value of Parcels'!H22/'# and Assessed Value of Parcels'!P22</f>
        <v>0.82398227250676292</v>
      </c>
      <c r="N27" s="101">
        <f t="shared" si="4"/>
        <v>0.87429272355496879</v>
      </c>
      <c r="O27" s="102">
        <f>'Tax Levies and EQ Tax Rates'!I22</f>
        <v>13904912.58</v>
      </c>
      <c r="P27" s="102">
        <f t="shared" si="5"/>
        <v>12156963.890361948</v>
      </c>
      <c r="Q27" s="103">
        <v>14636</v>
      </c>
      <c r="R27" s="119">
        <f t="shared" si="6"/>
        <v>830.62065389190684</v>
      </c>
    </row>
    <row r="28" spans="1:18" ht="15.75" customHeight="1" x14ac:dyDescent="0.25">
      <c r="A28" s="95" t="s">
        <v>31</v>
      </c>
      <c r="B28" s="96" t="s">
        <v>35</v>
      </c>
      <c r="C28" s="97">
        <f t="shared" si="0"/>
        <v>1119.3517014947092</v>
      </c>
      <c r="D28" s="99">
        <f t="shared" si="1"/>
        <v>165648.35373939559</v>
      </c>
      <c r="E28" s="18">
        <f t="shared" si="7"/>
        <v>104337.54</v>
      </c>
      <c r="F28" s="115">
        <v>208675.08</v>
      </c>
      <c r="G28" s="123">
        <f t="shared" si="2"/>
        <v>43026.726260604395</v>
      </c>
      <c r="H28" s="123">
        <f t="shared" ref="H28:H47" si="9">0.5*I28</f>
        <v>165477.5</v>
      </c>
      <c r="I28" s="116">
        <v>330955</v>
      </c>
      <c r="J28" s="123">
        <f t="shared" si="3"/>
        <v>165306.64626060441</v>
      </c>
      <c r="K28" s="130">
        <v>0.67573970777621895</v>
      </c>
      <c r="L28" s="101">
        <f>'# and Assessed Value of Parcels'!G23/'# and Assessed Value of Parcels'!O23</f>
        <v>0.96279666452854396</v>
      </c>
      <c r="M28" s="101">
        <f>'# and Assessed Value of Parcels'!H23/'# and Assessed Value of Parcels'!P23</f>
        <v>0.85286917759426784</v>
      </c>
      <c r="N28" s="101">
        <f t="shared" si="4"/>
        <v>0.9078329210614059</v>
      </c>
      <c r="O28" s="102">
        <f>'Tax Levies and EQ Tax Rates'!I23</f>
        <v>35498457.659999996</v>
      </c>
      <c r="P28" s="102">
        <f t="shared" si="5"/>
        <v>32226668.510652438</v>
      </c>
      <c r="Q28" s="103">
        <v>45345</v>
      </c>
      <c r="R28" s="119">
        <f t="shared" si="6"/>
        <v>710.69949301251381</v>
      </c>
    </row>
    <row r="29" spans="1:18" ht="15.75" customHeight="1" x14ac:dyDescent="0.25">
      <c r="A29" s="95" t="s">
        <v>31</v>
      </c>
      <c r="B29" s="96" t="s">
        <v>36</v>
      </c>
      <c r="C29" s="97">
        <f t="shared" si="0"/>
        <v>961.40301548174057</v>
      </c>
      <c r="D29" s="99">
        <f t="shared" si="1"/>
        <v>136254.51221813945</v>
      </c>
      <c r="E29" s="18">
        <f t="shared" si="7"/>
        <v>81734.833333333328</v>
      </c>
      <c r="F29" s="115">
        <v>163469.66666666666</v>
      </c>
      <c r="G29" s="123">
        <f t="shared" si="2"/>
        <v>27215.154448527202</v>
      </c>
      <c r="H29" s="123">
        <f t="shared" si="9"/>
        <v>146735</v>
      </c>
      <c r="I29" s="116">
        <v>293470</v>
      </c>
      <c r="J29" s="123">
        <f t="shared" si="3"/>
        <v>157215.48778186055</v>
      </c>
      <c r="K29" s="130">
        <v>0.70559352481667736</v>
      </c>
      <c r="L29" s="101">
        <f>'# and Assessed Value of Parcels'!G24/'# and Assessed Value of Parcels'!O24</f>
        <v>0.95376862401402274</v>
      </c>
      <c r="M29" s="101">
        <f>'# and Assessed Value of Parcels'!H24/'# and Assessed Value of Parcels'!P24</f>
        <v>0.87694473065069911</v>
      </c>
      <c r="N29" s="101">
        <f t="shared" si="4"/>
        <v>0.91535667733236092</v>
      </c>
      <c r="O29" s="102">
        <f>'Tax Levies and EQ Tax Rates'!I24</f>
        <v>10748447</v>
      </c>
      <c r="P29" s="102">
        <f t="shared" si="5"/>
        <v>9838662.7324029822</v>
      </c>
      <c r="Q29" s="103">
        <v>16118</v>
      </c>
      <c r="R29" s="119">
        <f t="shared" si="6"/>
        <v>610.41461300427977</v>
      </c>
    </row>
    <row r="30" spans="1:18" ht="15.75" customHeight="1" x14ac:dyDescent="0.25">
      <c r="A30" s="95" t="s">
        <v>31</v>
      </c>
      <c r="B30" s="96" t="s">
        <v>37</v>
      </c>
      <c r="C30" s="97">
        <f t="shared" si="0"/>
        <v>1322.8268410132519</v>
      </c>
      <c r="D30" s="99">
        <f t="shared" si="1"/>
        <v>160008.0573329012</v>
      </c>
      <c r="E30" s="18">
        <f t="shared" si="7"/>
        <v>116419.83526011561</v>
      </c>
      <c r="F30" s="115">
        <v>232839.67052023122</v>
      </c>
      <c r="G30" s="123">
        <f t="shared" si="2"/>
        <v>72831.613187330018</v>
      </c>
      <c r="H30" s="123">
        <f t="shared" si="9"/>
        <v>153810</v>
      </c>
      <c r="I30" s="116">
        <v>307620</v>
      </c>
      <c r="J30" s="123">
        <f t="shared" si="3"/>
        <v>147611.9426670988</v>
      </c>
      <c r="K30" s="130">
        <v>0.82672514313518219</v>
      </c>
      <c r="L30" s="101">
        <f>'# and Assessed Value of Parcels'!G25/'# and Assessed Value of Parcels'!O25</f>
        <v>0.95527753810756399</v>
      </c>
      <c r="M30" s="101">
        <f>'# and Assessed Value of Parcels'!H25/'# and Assessed Value of Parcels'!P25</f>
        <v>0.7164271010805654</v>
      </c>
      <c r="N30" s="101">
        <f t="shared" si="4"/>
        <v>0.8358523195940647</v>
      </c>
      <c r="O30" s="102">
        <f>'Tax Levies and EQ Tax Rates'!I25</f>
        <v>104139647.23</v>
      </c>
      <c r="P30" s="102">
        <f t="shared" si="5"/>
        <v>87045365.698903114</v>
      </c>
      <c r="Q30" s="103">
        <v>103639</v>
      </c>
      <c r="R30" s="119">
        <f t="shared" si="6"/>
        <v>839.89005778619162</v>
      </c>
    </row>
    <row r="31" spans="1:18" ht="15.75" customHeight="1" x14ac:dyDescent="0.25">
      <c r="A31" s="95" t="s">
        <v>38</v>
      </c>
      <c r="B31" s="96" t="s">
        <v>39</v>
      </c>
      <c r="C31" s="97">
        <f t="shared" si="0"/>
        <v>1796.7719139720693</v>
      </c>
      <c r="D31" s="99">
        <f t="shared" si="1"/>
        <v>95892.660558477626</v>
      </c>
      <c r="E31" s="18">
        <f t="shared" si="7"/>
        <v>67359.375</v>
      </c>
      <c r="F31" s="115">
        <v>134718.75</v>
      </c>
      <c r="G31" s="123">
        <f t="shared" si="2"/>
        <v>38826.089441522374</v>
      </c>
      <c r="H31" s="123">
        <f t="shared" si="9"/>
        <v>91945.5</v>
      </c>
      <c r="I31" s="116">
        <v>183891</v>
      </c>
      <c r="J31" s="123">
        <f t="shared" si="3"/>
        <v>87998.339441522374</v>
      </c>
      <c r="K31" s="130">
        <v>1.8737324666013986</v>
      </c>
      <c r="L31" s="101">
        <f>'# and Assessed Value of Parcels'!G26/'# and Assessed Value of Parcels'!O26</f>
        <v>0.96441281138790036</v>
      </c>
      <c r="M31" s="101">
        <f>'# and Assessed Value of Parcels'!H26/'# and Assessed Value of Parcels'!P26</f>
        <v>0.88303144331890093</v>
      </c>
      <c r="N31" s="101">
        <f t="shared" si="4"/>
        <v>0.92372212735340065</v>
      </c>
      <c r="O31" s="102">
        <f>'Tax Levies and EQ Tax Rates'!I26</f>
        <v>12047538.390000001</v>
      </c>
      <c r="P31" s="102">
        <f t="shared" si="5"/>
        <v>11128577.790982563</v>
      </c>
      <c r="Q31" s="103">
        <v>9755</v>
      </c>
      <c r="R31" s="119">
        <f t="shared" si="6"/>
        <v>1140.8075644267108</v>
      </c>
    </row>
    <row r="32" spans="1:18" ht="15.75" customHeight="1" x14ac:dyDescent="0.25">
      <c r="A32" s="95" t="s">
        <v>38</v>
      </c>
      <c r="B32" s="96" t="s">
        <v>40</v>
      </c>
      <c r="C32" s="97">
        <f t="shared" si="0"/>
        <v>910.28082218399072</v>
      </c>
      <c r="D32" s="99">
        <f t="shared" si="1"/>
        <v>272766.73133947368</v>
      </c>
      <c r="E32" s="18">
        <f t="shared" si="7"/>
        <v>146031.25</v>
      </c>
      <c r="F32" s="115">
        <v>292062.5</v>
      </c>
      <c r="G32" s="123">
        <f t="shared" si="2"/>
        <v>19295.768660526315</v>
      </c>
      <c r="H32" s="123">
        <f t="shared" si="9"/>
        <v>240243.5</v>
      </c>
      <c r="I32" s="116">
        <v>480487</v>
      </c>
      <c r="J32" s="123">
        <f t="shared" si="3"/>
        <v>207720.26866052632</v>
      </c>
      <c r="K32" s="130">
        <v>0.33372135146903037</v>
      </c>
      <c r="L32" s="101">
        <f>'# and Assessed Value of Parcels'!G27/'# and Assessed Value of Parcels'!O27</f>
        <v>0.97272104180945851</v>
      </c>
      <c r="M32" s="101">
        <f>'# and Assessed Value of Parcels'!H27/'# and Assessed Value of Parcels'!P27</f>
        <v>0.92205750411890763</v>
      </c>
      <c r="N32" s="101">
        <f t="shared" si="4"/>
        <v>0.94738927296418307</v>
      </c>
      <c r="O32" s="102">
        <f>'Tax Levies and EQ Tax Rates'!I27</f>
        <v>24954149.290000003</v>
      </c>
      <c r="P32" s="102">
        <f t="shared" si="5"/>
        <v>23641293.353292789</v>
      </c>
      <c r="Q32" s="103">
        <v>40905</v>
      </c>
      <c r="R32" s="119">
        <f t="shared" si="6"/>
        <v>577.95607757713697</v>
      </c>
    </row>
    <row r="33" spans="1:18" ht="15.75" customHeight="1" x14ac:dyDescent="0.25">
      <c r="A33" s="95" t="s">
        <v>38</v>
      </c>
      <c r="B33" s="96" t="s">
        <v>68</v>
      </c>
      <c r="C33" s="97">
        <f t="shared" si="0"/>
        <v>1196.7172718470586</v>
      </c>
      <c r="D33" s="99">
        <f t="shared" si="1"/>
        <v>295691.63696312619</v>
      </c>
      <c r="E33" s="18">
        <f t="shared" si="7"/>
        <v>449999.4</v>
      </c>
      <c r="F33" s="115">
        <v>899998.8</v>
      </c>
      <c r="G33" s="123">
        <f t="shared" si="2"/>
        <v>604307.1630368738</v>
      </c>
      <c r="H33" s="123">
        <f t="shared" si="9"/>
        <v>271006</v>
      </c>
      <c r="I33" s="116">
        <v>542012</v>
      </c>
      <c r="J33" s="123">
        <f t="shared" si="3"/>
        <v>246320.36303687381</v>
      </c>
      <c r="K33" s="130">
        <v>0.4047179974847559</v>
      </c>
      <c r="L33" s="101">
        <f>'# and Assessed Value of Parcels'!G28/'# and Assessed Value of Parcels'!O28</f>
        <v>0.95530168589174802</v>
      </c>
      <c r="M33" s="101">
        <f>'# and Assessed Value of Parcels'!H28/'# and Assessed Value of Parcels'!P28</f>
        <v>0.88451081022686973</v>
      </c>
      <c r="N33" s="101">
        <f t="shared" si="4"/>
        <v>0.91990624805930887</v>
      </c>
      <c r="O33" s="102">
        <f>'Tax Levies and EQ Tax Rates'!I28</f>
        <v>22856408.080000002</v>
      </c>
      <c r="P33" s="102">
        <f t="shared" si="5"/>
        <v>21025752.600985274</v>
      </c>
      <c r="Q33" s="103">
        <v>27672</v>
      </c>
      <c r="R33" s="119">
        <f t="shared" si="6"/>
        <v>759.82049006162447</v>
      </c>
    </row>
    <row r="34" spans="1:18" ht="15.75" customHeight="1" x14ac:dyDescent="0.25">
      <c r="A34" s="95" t="s">
        <v>38</v>
      </c>
      <c r="B34" s="96" t="s">
        <v>69</v>
      </c>
      <c r="C34" s="97">
        <f t="shared" si="0"/>
        <v>4445.7518469183096</v>
      </c>
      <c r="D34" s="99">
        <f t="shared" si="1"/>
        <v>865577.97228561947</v>
      </c>
      <c r="E34" s="18">
        <f t="shared" si="7"/>
        <v>719488</v>
      </c>
      <c r="F34" s="115">
        <v>1438976</v>
      </c>
      <c r="G34" s="123">
        <f t="shared" si="2"/>
        <v>573398.02771438053</v>
      </c>
      <c r="H34" s="123">
        <f t="shared" si="9"/>
        <v>348659</v>
      </c>
      <c r="I34" s="116">
        <v>697318</v>
      </c>
      <c r="J34" s="123">
        <f t="shared" si="3"/>
        <v>-168259.97228561947</v>
      </c>
      <c r="K34" s="130">
        <v>0.51361656479993245</v>
      </c>
      <c r="L34" s="101">
        <f>'# and Assessed Value of Parcels'!G29/'# and Assessed Value of Parcels'!O29</f>
        <v>0.93580470162748641</v>
      </c>
      <c r="M34" s="101">
        <f>'# and Assessed Value of Parcels'!H29/'# and Assessed Value of Parcels'!P29</f>
        <v>0.81959946110420667</v>
      </c>
      <c r="N34" s="101">
        <f t="shared" si="4"/>
        <v>0.87770208136584649</v>
      </c>
      <c r="O34" s="102">
        <f>'Tax Levies and EQ Tax Rates'!I29</f>
        <v>4660000</v>
      </c>
      <c r="P34" s="102">
        <f t="shared" si="5"/>
        <v>4090091.6991648446</v>
      </c>
      <c r="Q34" s="103">
        <v>1449</v>
      </c>
      <c r="R34" s="119">
        <f t="shared" si="6"/>
        <v>2822.6995853449585</v>
      </c>
    </row>
    <row r="35" spans="1:18" ht="15.75" customHeight="1" x14ac:dyDescent="0.25">
      <c r="A35" s="95" t="s">
        <v>70</v>
      </c>
      <c r="B35" s="96" t="s">
        <v>71</v>
      </c>
      <c r="C35" s="97">
        <f t="shared" si="0"/>
        <v>1243.0461629204585</v>
      </c>
      <c r="D35" s="99">
        <f t="shared" si="1"/>
        <v>269014.94916941971</v>
      </c>
      <c r="E35" s="18">
        <f t="shared" si="7"/>
        <v>70305.25</v>
      </c>
      <c r="F35" s="115">
        <v>140610.5</v>
      </c>
      <c r="G35" s="123">
        <f t="shared" si="2"/>
        <v>-128404.44916941971</v>
      </c>
      <c r="H35" s="123">
        <f t="shared" si="9"/>
        <v>220550.5</v>
      </c>
      <c r="I35" s="116">
        <v>441101</v>
      </c>
      <c r="J35" s="123">
        <f t="shared" si="3"/>
        <v>172086.05083058029</v>
      </c>
      <c r="K35" s="130">
        <v>0.46207326647026414</v>
      </c>
      <c r="L35" s="101">
        <f>'# and Assessed Value of Parcels'!G30/'# and Assessed Value of Parcels'!O30</f>
        <v>0.93611412622111956</v>
      </c>
      <c r="M35" s="101">
        <f>'# and Assessed Value of Parcels'!H30/'# and Assessed Value of Parcels'!P30</f>
        <v>0.80900620679671975</v>
      </c>
      <c r="N35" s="101">
        <f t="shared" si="4"/>
        <v>0.87256016650891965</v>
      </c>
      <c r="O35" s="102">
        <f>'Tax Levies and EQ Tax Rates'!I30</f>
        <v>15473379.300000001</v>
      </c>
      <c r="P35" s="102">
        <f t="shared" si="5"/>
        <v>13501454.418463672</v>
      </c>
      <c r="Q35" s="103">
        <v>17107</v>
      </c>
      <c r="R35" s="119">
        <f t="shared" si="6"/>
        <v>789.2356589971165</v>
      </c>
    </row>
    <row r="36" spans="1:18" ht="15.75" customHeight="1" x14ac:dyDescent="0.25">
      <c r="A36" s="95" t="s">
        <v>70</v>
      </c>
      <c r="B36" s="96" t="s">
        <v>72</v>
      </c>
      <c r="C36" s="97">
        <f t="shared" si="0"/>
        <v>1911.6324667955307</v>
      </c>
      <c r="D36" s="99">
        <f t="shared" si="1"/>
        <v>195390.44858892696</v>
      </c>
      <c r="E36" s="18">
        <f t="shared" si="7"/>
        <v>111185.87083333333</v>
      </c>
      <c r="F36" s="115">
        <v>222371.74166666667</v>
      </c>
      <c r="G36" s="123">
        <f t="shared" si="2"/>
        <v>26981.293077739712</v>
      </c>
      <c r="H36" s="123">
        <f t="shared" si="9"/>
        <v>173989</v>
      </c>
      <c r="I36" s="116">
        <v>347978</v>
      </c>
      <c r="J36" s="123">
        <f t="shared" si="3"/>
        <v>152587.55141107304</v>
      </c>
      <c r="K36" s="130">
        <v>0.97836536053884959</v>
      </c>
      <c r="L36" s="101">
        <f>'# and Assessed Value of Parcels'!G31/'# and Assessed Value of Parcels'!O31</f>
        <v>0.97167216721672167</v>
      </c>
      <c r="M36" s="101">
        <f>'# and Assessed Value of Parcels'!H31/'# and Assessed Value of Parcels'!P31</f>
        <v>0.87191037944018179</v>
      </c>
      <c r="N36" s="101">
        <f t="shared" si="4"/>
        <v>0.92179127332845168</v>
      </c>
      <c r="O36" s="102">
        <f>'Tax Levies and EQ Tax Rates'!I31</f>
        <v>14371926.5</v>
      </c>
      <c r="P36" s="102">
        <f t="shared" si="5"/>
        <v>13247916.428617917</v>
      </c>
      <c r="Q36" s="103">
        <v>10915</v>
      </c>
      <c r="R36" s="119">
        <f t="shared" si="6"/>
        <v>1213.7348995527179</v>
      </c>
    </row>
    <row r="37" spans="1:18" ht="15.75" customHeight="1" x14ac:dyDescent="0.25">
      <c r="A37" s="95" t="s">
        <v>41</v>
      </c>
      <c r="B37" s="96" t="s">
        <v>73</v>
      </c>
      <c r="C37" s="97">
        <f t="shared" si="0"/>
        <v>1415.6180360090227</v>
      </c>
      <c r="D37" s="99">
        <f t="shared" si="1"/>
        <v>175175.41697292478</v>
      </c>
      <c r="E37" s="18">
        <f t="shared" si="7"/>
        <v>85674.365168539327</v>
      </c>
      <c r="F37" s="115">
        <v>171348.73033707865</v>
      </c>
      <c r="G37" s="123">
        <f t="shared" si="2"/>
        <v>-3826.6866358461266</v>
      </c>
      <c r="H37" s="123">
        <f t="shared" si="9"/>
        <v>174720.5</v>
      </c>
      <c r="I37" s="116">
        <v>349441</v>
      </c>
      <c r="J37" s="123">
        <f t="shared" si="3"/>
        <v>174265.58302707522</v>
      </c>
      <c r="K37" s="130">
        <v>0.80811455195669468</v>
      </c>
      <c r="L37" s="101">
        <f>'# and Assessed Value of Parcels'!G32/'# and Assessed Value of Parcels'!O32</f>
        <v>0.93861280892904597</v>
      </c>
      <c r="M37" s="101">
        <f>'# and Assessed Value of Parcels'!H32/'# and Assessed Value of Parcels'!P32</f>
        <v>0.81106844376357135</v>
      </c>
      <c r="N37" s="101">
        <f t="shared" si="4"/>
        <v>0.87484062634630866</v>
      </c>
      <c r="O37" s="102">
        <f>'Tax Levies and EQ Tax Rates'!I32</f>
        <v>13725969.970000001</v>
      </c>
      <c r="P37" s="102">
        <f t="shared" si="5"/>
        <v>12008036.165765423</v>
      </c>
      <c r="Q37" s="103">
        <v>13360</v>
      </c>
      <c r="R37" s="119">
        <f t="shared" si="6"/>
        <v>898.8051022279509</v>
      </c>
    </row>
    <row r="38" spans="1:18" ht="15.75" customHeight="1" x14ac:dyDescent="0.25">
      <c r="A38" s="95" t="s">
        <v>41</v>
      </c>
      <c r="B38" s="96" t="s">
        <v>42</v>
      </c>
      <c r="C38" s="97">
        <f t="shared" si="0"/>
        <v>1199.6618777182114</v>
      </c>
      <c r="D38" s="99">
        <f t="shared" si="1"/>
        <v>60772.427657452252</v>
      </c>
      <c r="E38" s="18">
        <f t="shared" si="7"/>
        <v>63852.06</v>
      </c>
      <c r="F38" s="115">
        <v>127704.12</v>
      </c>
      <c r="G38" s="123">
        <f t="shared" si="2"/>
        <v>66931.692342547743</v>
      </c>
      <c r="H38" s="123">
        <f t="shared" si="9"/>
        <v>129510</v>
      </c>
      <c r="I38" s="116">
        <v>259020</v>
      </c>
      <c r="J38" s="123">
        <f t="shared" si="3"/>
        <v>198247.57234254776</v>
      </c>
      <c r="K38" s="130">
        <v>1.9740232930634001</v>
      </c>
      <c r="L38" s="101">
        <f>'# and Assessed Value of Parcels'!G33/'# and Assessed Value of Parcels'!O33</f>
        <v>0.8215948144603471</v>
      </c>
      <c r="M38" s="101">
        <f>'# and Assessed Value of Parcels'!H33/'# and Assessed Value of Parcels'!P33</f>
        <v>0.65337602486817126</v>
      </c>
      <c r="N38" s="101">
        <f t="shared" si="4"/>
        <v>0.73748541966425918</v>
      </c>
      <c r="O38" s="102">
        <f>'Tax Levies and EQ Tax Rates'!I33</f>
        <v>164974488.69999999</v>
      </c>
      <c r="P38" s="102">
        <f t="shared" si="5"/>
        <v>121666280.03281608</v>
      </c>
      <c r="Q38" s="103">
        <v>159732</v>
      </c>
      <c r="R38" s="119">
        <f t="shared" si="6"/>
        <v>761.69008109092783</v>
      </c>
    </row>
    <row r="39" spans="1:18" ht="15.75" customHeight="1" x14ac:dyDescent="0.25">
      <c r="A39" s="95" t="s">
        <v>41</v>
      </c>
      <c r="B39" s="96" t="s">
        <v>43</v>
      </c>
      <c r="C39" s="97">
        <f t="shared" si="0"/>
        <v>1399.0576277779953</v>
      </c>
      <c r="D39" s="99">
        <f t="shared" si="1"/>
        <v>165600.43865117448</v>
      </c>
      <c r="E39" s="18">
        <f t="shared" si="7"/>
        <v>138989.00819672132</v>
      </c>
      <c r="F39" s="115">
        <v>277978.01639344264</v>
      </c>
      <c r="G39" s="123">
        <f t="shared" si="2"/>
        <v>112377.57774226816</v>
      </c>
      <c r="H39" s="123">
        <f t="shared" si="9"/>
        <v>148505</v>
      </c>
      <c r="I39" s="116">
        <v>297010</v>
      </c>
      <c r="J39" s="123">
        <f t="shared" si="3"/>
        <v>131409.56134882552</v>
      </c>
      <c r="K39" s="130">
        <v>0.84483932480698942</v>
      </c>
      <c r="L39" s="101">
        <f>'# and Assessed Value of Parcels'!G34/'# and Assessed Value of Parcels'!O34</f>
        <v>0.95521999479302266</v>
      </c>
      <c r="M39" s="101">
        <f>'# and Assessed Value of Parcels'!H34/'# and Assessed Value of Parcels'!P34</f>
        <v>0.87552226480698236</v>
      </c>
      <c r="N39" s="101">
        <f t="shared" si="4"/>
        <v>0.91537112980000246</v>
      </c>
      <c r="O39" s="102">
        <f>'Tax Levies and EQ Tax Rates'!I34</f>
        <v>10797816</v>
      </c>
      <c r="P39" s="102">
        <f t="shared" si="5"/>
        <v>9884009.0312925428</v>
      </c>
      <c r="Q39" s="103">
        <v>11127</v>
      </c>
      <c r="R39" s="119">
        <f t="shared" si="6"/>
        <v>888.29055731936216</v>
      </c>
    </row>
    <row r="40" spans="1:18" ht="15.75" customHeight="1" x14ac:dyDescent="0.25">
      <c r="A40" s="95" t="s">
        <v>41</v>
      </c>
      <c r="B40" s="96" t="s">
        <v>44</v>
      </c>
      <c r="C40" s="97">
        <f t="shared" si="0"/>
        <v>1581.3648998085366</v>
      </c>
      <c r="D40" s="99">
        <f t="shared" si="1"/>
        <v>266925.84883421776</v>
      </c>
      <c r="E40" s="18">
        <f t="shared" si="7"/>
        <v>76659.687179487184</v>
      </c>
      <c r="F40" s="115">
        <v>153319.37435897437</v>
      </c>
      <c r="G40" s="123">
        <f t="shared" si="2"/>
        <v>-113606.47447524339</v>
      </c>
      <c r="H40" s="123">
        <f t="shared" si="9"/>
        <v>238923</v>
      </c>
      <c r="I40" s="116">
        <v>477846</v>
      </c>
      <c r="J40" s="123">
        <f t="shared" si="3"/>
        <v>210920.15116578224</v>
      </c>
      <c r="K40" s="130">
        <v>0.59243602922498906</v>
      </c>
      <c r="L40" s="101">
        <f>'# and Assessed Value of Parcels'!G35/'# and Assessed Value of Parcels'!O35</f>
        <v>0.95973428121904314</v>
      </c>
      <c r="M40" s="101">
        <f>'# and Assessed Value of Parcels'!H35/'# and Assessed Value of Parcels'!P35</f>
        <v>0.74630979334649838</v>
      </c>
      <c r="N40" s="101">
        <f t="shared" si="4"/>
        <v>0.85302203728277082</v>
      </c>
      <c r="O40" s="102">
        <f>'Tax Levies and EQ Tax Rates'!I35</f>
        <v>64546529</v>
      </c>
      <c r="P40" s="102">
        <f t="shared" si="5"/>
        <v>55059611.667111449</v>
      </c>
      <c r="Q40" s="103">
        <v>54838</v>
      </c>
      <c r="R40" s="119">
        <f t="shared" si="6"/>
        <v>1004.0412062276423</v>
      </c>
    </row>
    <row r="41" spans="1:18" ht="15.75" customHeight="1" x14ac:dyDescent="0.25">
      <c r="A41" s="95" t="s">
        <v>41</v>
      </c>
      <c r="B41" s="96" t="s">
        <v>74</v>
      </c>
      <c r="C41" s="97">
        <f t="shared" si="0"/>
        <v>1472.7922720354959</v>
      </c>
      <c r="D41" s="99">
        <f t="shared" si="1"/>
        <v>190806.41844209246</v>
      </c>
      <c r="E41" s="18">
        <f t="shared" si="7"/>
        <v>148514</v>
      </c>
      <c r="F41" s="115">
        <v>297028</v>
      </c>
      <c r="G41" s="123">
        <f t="shared" si="2"/>
        <v>106221.58155790754</v>
      </c>
      <c r="H41" s="123">
        <f t="shared" si="9"/>
        <v>194040</v>
      </c>
      <c r="I41" s="116">
        <v>388080</v>
      </c>
      <c r="J41" s="123">
        <f t="shared" si="3"/>
        <v>197273.58155790754</v>
      </c>
      <c r="K41" s="130">
        <v>0.77187774083316352</v>
      </c>
      <c r="L41" s="101">
        <f>'# and Assessed Value of Parcels'!G36/'# and Assessed Value of Parcels'!O36</f>
        <v>0.93500511770726713</v>
      </c>
      <c r="M41" s="101">
        <f>'# and Assessed Value of Parcels'!H36/'# and Assessed Value of Parcels'!P36</f>
        <v>0.79393218764737428</v>
      </c>
      <c r="N41" s="101">
        <f t="shared" si="4"/>
        <v>0.86446865267732065</v>
      </c>
      <c r="O41" s="102">
        <f>'Tax Levies and EQ Tax Rates'!I36</f>
        <v>14585806</v>
      </c>
      <c r="P41" s="102">
        <f t="shared" si="5"/>
        <v>12608972.06103278</v>
      </c>
      <c r="Q41" s="103">
        <v>13484</v>
      </c>
      <c r="R41" s="119">
        <f t="shared" si="6"/>
        <v>935.10620446698158</v>
      </c>
    </row>
    <row r="42" spans="1:18" ht="15.75" customHeight="1" x14ac:dyDescent="0.25">
      <c r="A42" s="95" t="s">
        <v>45</v>
      </c>
      <c r="B42" s="96" t="s">
        <v>75</v>
      </c>
      <c r="C42" s="97">
        <f t="shared" si="0"/>
        <v>644.95051075236097</v>
      </c>
      <c r="D42" s="99">
        <f t="shared" si="1"/>
        <v>280857.37633155123</v>
      </c>
      <c r="E42" s="18">
        <f t="shared" si="7"/>
        <v>67999.25</v>
      </c>
      <c r="F42" s="115">
        <v>135998.5</v>
      </c>
      <c r="G42" s="123">
        <f t="shared" si="2"/>
        <v>-144858.87633155123</v>
      </c>
      <c r="H42" s="123">
        <f t="shared" si="9"/>
        <v>232949.5</v>
      </c>
      <c r="I42" s="116">
        <v>465899</v>
      </c>
      <c r="J42" s="123">
        <f t="shared" si="3"/>
        <v>185041.62366844877</v>
      </c>
      <c r="K42" s="130">
        <v>0.22963630835566837</v>
      </c>
      <c r="L42" s="101">
        <f>'# and Assessed Value of Parcels'!G37/'# and Assessed Value of Parcels'!O37</f>
        <v>0.96962008847254744</v>
      </c>
      <c r="M42" s="101">
        <f>'# and Assessed Value of Parcels'!H37/'# and Assessed Value of Parcels'!P37</f>
        <v>0.74155473878526956</v>
      </c>
      <c r="N42" s="101">
        <f t="shared" si="4"/>
        <v>0.85558741362890856</v>
      </c>
      <c r="O42" s="102">
        <f>'Tax Levies and EQ Tax Rates'!I37</f>
        <v>22005035.620000001</v>
      </c>
      <c r="P42" s="102">
        <f t="shared" si="5"/>
        <v>18827231.512927808</v>
      </c>
      <c r="Q42" s="103">
        <v>45977</v>
      </c>
      <c r="R42" s="119">
        <f t="shared" si="6"/>
        <v>409.49238777927678</v>
      </c>
    </row>
    <row r="43" spans="1:18" ht="15.75" customHeight="1" x14ac:dyDescent="0.25">
      <c r="A43" s="95" t="s">
        <v>45</v>
      </c>
      <c r="B43" s="96" t="s">
        <v>46</v>
      </c>
      <c r="C43" s="97">
        <f t="shared" si="0"/>
        <v>865.00861749842352</v>
      </c>
      <c r="D43" s="99">
        <f t="shared" si="1"/>
        <v>236288.80563259131</v>
      </c>
      <c r="E43" s="18">
        <f t="shared" si="7"/>
        <v>70817.25</v>
      </c>
      <c r="F43" s="115">
        <v>141634.5</v>
      </c>
      <c r="G43" s="123">
        <f t="shared" si="2"/>
        <v>-94654.305632591306</v>
      </c>
      <c r="H43" s="123">
        <f t="shared" si="9"/>
        <v>184742</v>
      </c>
      <c r="I43" s="116">
        <v>369484</v>
      </c>
      <c r="J43" s="123">
        <f t="shared" si="3"/>
        <v>133195.19436740869</v>
      </c>
      <c r="K43" s="130">
        <v>0.36608108250521071</v>
      </c>
      <c r="L43" s="101">
        <f>'# and Assessed Value of Parcels'!G38/'# and Assessed Value of Parcels'!O38</f>
        <v>0.966461229754909</v>
      </c>
      <c r="M43" s="101">
        <f>'# and Assessed Value of Parcels'!H38/'# and Assessed Value of Parcels'!P38</f>
        <v>0.74002784885113326</v>
      </c>
      <c r="N43" s="101">
        <f t="shared" si="4"/>
        <v>0.85324453930302113</v>
      </c>
      <c r="O43" s="102">
        <f>'Tax Levies and EQ Tax Rates'!I38</f>
        <v>44004169</v>
      </c>
      <c r="P43" s="102">
        <f t="shared" si="5"/>
        <v>37546316.905817285</v>
      </c>
      <c r="Q43" s="103">
        <v>68364</v>
      </c>
      <c r="R43" s="119">
        <f t="shared" si="6"/>
        <v>549.21182063391973</v>
      </c>
    </row>
    <row r="44" spans="1:18" ht="15.75" customHeight="1" x14ac:dyDescent="0.25">
      <c r="A44" s="95" t="s">
        <v>45</v>
      </c>
      <c r="B44" s="96" t="s">
        <v>47</v>
      </c>
      <c r="C44" s="97">
        <f t="shared" si="0"/>
        <v>1245.2654631723447</v>
      </c>
      <c r="D44" s="99">
        <f t="shared" si="1"/>
        <v>124633.89338694653</v>
      </c>
      <c r="E44" s="18">
        <f t="shared" si="7"/>
        <v>97261.466257668711</v>
      </c>
      <c r="F44" s="115">
        <v>194522.93251533742</v>
      </c>
      <c r="G44" s="123">
        <f t="shared" si="2"/>
        <v>69889.039128390898</v>
      </c>
      <c r="H44" s="123">
        <f t="shared" si="9"/>
        <v>126652</v>
      </c>
      <c r="I44" s="116">
        <v>253304</v>
      </c>
      <c r="J44" s="123">
        <f t="shared" si="3"/>
        <v>128670.10661305347</v>
      </c>
      <c r="K44" s="130">
        <v>0.99913870082370937</v>
      </c>
      <c r="L44" s="101">
        <f>'# and Assessed Value of Parcels'!G39/'# and Assessed Value of Parcels'!O39</f>
        <v>0.95111773472429206</v>
      </c>
      <c r="M44" s="101">
        <f>'# and Assessed Value of Parcels'!H39/'# and Assessed Value of Parcels'!P39</f>
        <v>0.86385134818830744</v>
      </c>
      <c r="N44" s="101">
        <f t="shared" si="4"/>
        <v>0.90748454145629975</v>
      </c>
      <c r="O44" s="102">
        <f>'Tax Levies and EQ Tax Rates'!I39</f>
        <v>9542787.1500000004</v>
      </c>
      <c r="P44" s="102">
        <f t="shared" si="5"/>
        <v>8659931.8210328203</v>
      </c>
      <c r="Q44" s="103">
        <v>10953</v>
      </c>
      <c r="R44" s="119">
        <f t="shared" si="6"/>
        <v>790.64473852212359</v>
      </c>
    </row>
    <row r="45" spans="1:18" ht="15.75" customHeight="1" x14ac:dyDescent="0.25">
      <c r="A45" s="95" t="s">
        <v>48</v>
      </c>
      <c r="B45" s="96" t="s">
        <v>49</v>
      </c>
      <c r="C45" s="97">
        <f t="shared" si="0"/>
        <v>1620.9564565432868</v>
      </c>
      <c r="D45" s="99">
        <f t="shared" si="1"/>
        <v>174941.34925907786</v>
      </c>
      <c r="E45" s="18">
        <f t="shared" si="7"/>
        <v>104337.86</v>
      </c>
      <c r="F45" s="115">
        <v>208675.72</v>
      </c>
      <c r="G45" s="123">
        <f t="shared" si="2"/>
        <v>33734.370740922139</v>
      </c>
      <c r="H45" s="123">
        <f t="shared" si="9"/>
        <v>163337</v>
      </c>
      <c r="I45" s="116">
        <v>326674</v>
      </c>
      <c r="J45" s="123">
        <f t="shared" si="3"/>
        <v>151732.65074092214</v>
      </c>
      <c r="K45" s="130">
        <v>0.92657137000969703</v>
      </c>
      <c r="L45" s="101">
        <f>'# and Assessed Value of Parcels'!G40/'# and Assessed Value of Parcels'!O40</f>
        <v>0.90298507462686572</v>
      </c>
      <c r="M45" s="101">
        <f>'# and Assessed Value of Parcels'!H40/'# and Assessed Value of Parcels'!P40</f>
        <v>0.53546516271707922</v>
      </c>
      <c r="N45" s="101">
        <f t="shared" si="4"/>
        <v>0.71922511867197247</v>
      </c>
      <c r="O45" s="102">
        <f>'Tax Levies and EQ Tax Rates'!I40</f>
        <v>62587105.100000001</v>
      </c>
      <c r="P45" s="102">
        <f t="shared" si="5"/>
        <v>45014218.092882715</v>
      </c>
      <c r="Q45" s="103">
        <v>43738</v>
      </c>
      <c r="R45" s="119">
        <f t="shared" si="6"/>
        <v>1029.1787025671663</v>
      </c>
    </row>
    <row r="46" spans="1:18" ht="15.75" customHeight="1" x14ac:dyDescent="0.25">
      <c r="A46" s="95" t="s">
        <v>48</v>
      </c>
      <c r="B46" s="96" t="s">
        <v>50</v>
      </c>
      <c r="C46" s="97">
        <f t="shared" si="0"/>
        <v>1743.2195065270014</v>
      </c>
      <c r="D46" s="99">
        <f t="shared" si="1"/>
        <v>130682.39172723472</v>
      </c>
      <c r="E46" s="18">
        <f t="shared" si="7"/>
        <v>132152.2794117647</v>
      </c>
      <c r="F46" s="115">
        <v>264304.5588235294</v>
      </c>
      <c r="G46" s="123">
        <f t="shared" si="2"/>
        <v>133622.1670962947</v>
      </c>
      <c r="H46" s="123">
        <f t="shared" si="9"/>
        <v>135807.5</v>
      </c>
      <c r="I46" s="116">
        <v>271615</v>
      </c>
      <c r="J46" s="123">
        <f t="shared" si="3"/>
        <v>140932.6082727653</v>
      </c>
      <c r="K46" s="130">
        <v>1.3339360287845938</v>
      </c>
      <c r="L46" s="101">
        <f>'# and Assessed Value of Parcels'!G41/'# and Assessed Value of Parcels'!O41</f>
        <v>0.94367816091954027</v>
      </c>
      <c r="M46" s="101">
        <f>'# and Assessed Value of Parcels'!H41/'# and Assessed Value of Parcels'!P41</f>
        <v>0.73460247640646714</v>
      </c>
      <c r="N46" s="101">
        <f t="shared" si="4"/>
        <v>0.83914031866300376</v>
      </c>
      <c r="O46" s="102">
        <f>'Tax Levies and EQ Tax Rates'!I41</f>
        <v>38983658</v>
      </c>
      <c r="P46" s="102">
        <f t="shared" si="5"/>
        <v>32712759.196769554</v>
      </c>
      <c r="Q46" s="103">
        <v>29556</v>
      </c>
      <c r="R46" s="119">
        <f t="shared" si="6"/>
        <v>1106.8060358901596</v>
      </c>
    </row>
    <row r="47" spans="1:18" ht="15.75" customHeight="1" x14ac:dyDescent="0.25">
      <c r="A47" s="105" t="s">
        <v>76</v>
      </c>
      <c r="B47" s="106" t="s">
        <v>77</v>
      </c>
      <c r="C47" s="107">
        <f t="shared" si="0"/>
        <v>710.1746095884248</v>
      </c>
      <c r="D47" s="109">
        <f t="shared" si="1"/>
        <v>247514.70415934559</v>
      </c>
      <c r="E47" s="18">
        <f t="shared" si="7"/>
        <v>57089.602272727272</v>
      </c>
      <c r="F47" s="147">
        <v>114179.20454545454</v>
      </c>
      <c r="G47" s="124">
        <f t="shared" si="2"/>
        <v>-133335.49961389106</v>
      </c>
      <c r="H47" s="123">
        <f t="shared" si="9"/>
        <v>120092.5</v>
      </c>
      <c r="I47" s="116">
        <v>240185</v>
      </c>
      <c r="J47" s="124">
        <f t="shared" si="3"/>
        <v>-7329.7041593455942</v>
      </c>
      <c r="K47" s="132">
        <v>0.28692218993633078</v>
      </c>
      <c r="L47" s="111">
        <f>'# and Assessed Value of Parcels'!G42/'# and Assessed Value of Parcels'!O42</f>
        <v>0.95134061569016881</v>
      </c>
      <c r="M47" s="111">
        <f>'# and Assessed Value of Parcels'!H42/'# and Assessed Value of Parcels'!P42</f>
        <v>0.44542234351045923</v>
      </c>
      <c r="N47" s="111">
        <f t="shared" si="4"/>
        <v>0.69838147960031405</v>
      </c>
      <c r="O47" s="112">
        <f>'Tax Levies and EQ Tax Rates'!I42</f>
        <v>1616042.28</v>
      </c>
      <c r="P47" s="112">
        <f t="shared" si="5"/>
        <v>1128613.998603065</v>
      </c>
      <c r="Q47" s="113">
        <v>2503</v>
      </c>
      <c r="R47" s="122">
        <f t="shared" si="6"/>
        <v>450.90451402439675</v>
      </c>
    </row>
    <row r="48" spans="1:18" ht="15.75" customHeight="1" x14ac:dyDescent="0.25">
      <c r="C48" s="116">
        <f>AVERAGE(C10:C47)</f>
        <v>1268.2237885084407</v>
      </c>
      <c r="D48" s="116">
        <f t="shared" ref="D48:R48" si="10">AVERAGE(D10:D47)</f>
        <v>205578.12098147909</v>
      </c>
      <c r="E48" s="116">
        <f t="shared" si="10"/>
        <v>124266.76565838463</v>
      </c>
      <c r="F48" s="152">
        <f t="shared" si="10"/>
        <v>248533.53131676925</v>
      </c>
      <c r="G48" s="116">
        <f t="shared" si="10"/>
        <v>42955.410335290151</v>
      </c>
      <c r="H48" s="116">
        <f t="shared" si="10"/>
        <v>172507.67688949048</v>
      </c>
      <c r="I48" s="116">
        <f t="shared" si="10"/>
        <v>345015.35377898096</v>
      </c>
      <c r="J48" s="116">
        <f t="shared" si="10"/>
        <v>139437.23279750196</v>
      </c>
      <c r="K48" s="146">
        <f t="shared" si="10"/>
        <v>0.77531690390378416</v>
      </c>
      <c r="L48" s="149">
        <f t="shared" si="10"/>
        <v>0.94289015605878534</v>
      </c>
      <c r="M48" s="149">
        <f t="shared" si="10"/>
        <v>0.80603558289215715</v>
      </c>
      <c r="N48" s="149">
        <f t="shared" si="10"/>
        <v>0.87446286947547125</v>
      </c>
      <c r="O48" s="150">
        <f t="shared" si="10"/>
        <v>31129966.096578944</v>
      </c>
      <c r="P48" s="116">
        <f t="shared" si="10"/>
        <v>25171474.147470411</v>
      </c>
      <c r="Q48" s="153">
        <f t="shared" si="10"/>
        <v>35254.131578947367</v>
      </c>
      <c r="R48" s="116">
        <f t="shared" si="10"/>
        <v>805.22145302123226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A8:B8"/>
    <mergeCell ref="C8:D8"/>
    <mergeCell ref="F8:J8"/>
    <mergeCell ref="K8:R8"/>
  </mergeCells>
  <pageMargins left="0.7" right="0.7" top="0.75" bottom="0.75" header="0" footer="0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B1000"/>
  <sheetViews>
    <sheetView topLeftCell="A8" zoomScale="69" workbookViewId="0">
      <selection activeCell="E8" sqref="E1:E1048576"/>
    </sheetView>
  </sheetViews>
  <sheetFormatPr defaultColWidth="14.42578125" defaultRowHeight="15" customHeight="1" x14ac:dyDescent="0.25"/>
  <cols>
    <col min="1" max="2" width="20.85546875" customWidth="1"/>
    <col min="3" max="16" width="15.85546875" customWidth="1"/>
    <col min="17" max="28" width="11.42578125" customWidth="1"/>
  </cols>
  <sheetData>
    <row r="1" spans="1:28" x14ac:dyDescent="0.25">
      <c r="A1" s="1" t="s">
        <v>95</v>
      </c>
    </row>
    <row r="3" spans="1:28" x14ac:dyDescent="0.25">
      <c r="A3" s="219" t="s">
        <v>93</v>
      </c>
      <c r="B3" s="209"/>
    </row>
    <row r="4" spans="1:28" x14ac:dyDescent="0.25">
      <c r="A4" s="2" t="s">
        <v>0</v>
      </c>
      <c r="B4" s="3" t="s">
        <v>1</v>
      </c>
    </row>
    <row r="5" spans="1:28" x14ac:dyDescent="0.25">
      <c r="A5" s="4" t="s">
        <v>2</v>
      </c>
      <c r="B5" s="5">
        <v>1.575</v>
      </c>
    </row>
    <row r="6" spans="1:28" x14ac:dyDescent="0.25">
      <c r="A6" s="6" t="s">
        <v>3</v>
      </c>
      <c r="B6" s="7">
        <v>6.7000000000000004E-2</v>
      </c>
    </row>
    <row r="7" spans="1:28" x14ac:dyDescent="0.25">
      <c r="A7" s="8"/>
      <c r="B7" s="8"/>
    </row>
    <row r="8" spans="1:28" ht="31.5" customHeight="1" x14ac:dyDescent="0.25">
      <c r="A8" s="220" t="s">
        <v>4</v>
      </c>
      <c r="B8" s="209"/>
      <c r="C8" s="222" t="s">
        <v>96</v>
      </c>
      <c r="D8" s="209"/>
      <c r="E8" s="145"/>
      <c r="F8" s="220" t="s">
        <v>6</v>
      </c>
      <c r="G8" s="221"/>
      <c r="H8" s="221"/>
      <c r="I8" s="221"/>
      <c r="J8" s="209"/>
      <c r="K8" s="220" t="s">
        <v>52</v>
      </c>
      <c r="L8" s="221"/>
      <c r="M8" s="221"/>
      <c r="N8" s="221"/>
      <c r="O8" s="221"/>
      <c r="P8" s="221"/>
      <c r="Q8" s="221"/>
      <c r="R8" s="209"/>
    </row>
    <row r="9" spans="1:28" ht="64.5" customHeight="1" x14ac:dyDescent="0.25">
      <c r="A9" s="93" t="s">
        <v>8</v>
      </c>
      <c r="B9" s="10" t="s">
        <v>9</v>
      </c>
      <c r="C9" s="11" t="s">
        <v>10</v>
      </c>
      <c r="D9" s="16" t="s">
        <v>13</v>
      </c>
      <c r="E9" s="13" t="s">
        <v>202</v>
      </c>
      <c r="F9" s="13" t="s">
        <v>191</v>
      </c>
      <c r="G9" s="94" t="s">
        <v>192</v>
      </c>
      <c r="H9" s="14" t="s">
        <v>201</v>
      </c>
      <c r="I9" s="14" t="s">
        <v>193</v>
      </c>
      <c r="J9" s="15" t="s">
        <v>194</v>
      </c>
      <c r="K9" s="11" t="s">
        <v>53</v>
      </c>
      <c r="L9" s="12" t="s">
        <v>15</v>
      </c>
      <c r="M9" s="12" t="s">
        <v>16</v>
      </c>
      <c r="N9" s="12" t="s">
        <v>17</v>
      </c>
      <c r="O9" s="12" t="s">
        <v>18</v>
      </c>
      <c r="P9" s="12" t="s">
        <v>19</v>
      </c>
      <c r="Q9" s="14" t="s">
        <v>20</v>
      </c>
      <c r="R9" s="16" t="s">
        <v>21</v>
      </c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.75" x14ac:dyDescent="0.25">
      <c r="A10" s="95" t="s">
        <v>25</v>
      </c>
      <c r="B10" s="96" t="s">
        <v>26</v>
      </c>
      <c r="C10" s="97">
        <f t="shared" ref="C10:C47" si="0">$B$5*R10</f>
        <v>1502.255535626206</v>
      </c>
      <c r="D10" s="99">
        <f t="shared" ref="D10:D47" si="1">C10/(K10/100)</f>
        <v>49030.197008871583</v>
      </c>
      <c r="E10" s="18">
        <f>0.5*F10</f>
        <v>30117.5</v>
      </c>
      <c r="F10" s="115">
        <v>60235</v>
      </c>
      <c r="G10" s="123">
        <f t="shared" ref="G10:G47" si="2">F10-D10</f>
        <v>11204.802991128417</v>
      </c>
      <c r="H10" s="123">
        <f>0.5*I10</f>
        <v>49181.5</v>
      </c>
      <c r="I10" s="116">
        <v>98363</v>
      </c>
      <c r="J10" s="123">
        <f t="shared" ref="J10:J47" si="3">I10-D10</f>
        <v>49332.802991128417</v>
      </c>
      <c r="K10" s="130">
        <v>3.0639394236053876</v>
      </c>
      <c r="L10" s="101">
        <f>'# and Assessed Value of Parcels'!G5/'# and Assessed Value of Parcels'!O5</f>
        <v>0.92172812725958064</v>
      </c>
      <c r="M10" s="101">
        <f>'# and Assessed Value of Parcels'!H5/'# and Assessed Value of Parcels'!P5</f>
        <v>0.73101366343961027</v>
      </c>
      <c r="N10" s="101">
        <f t="shared" ref="N10:N47" si="4">(L10+M10)/2</f>
        <v>0.8263708953495954</v>
      </c>
      <c r="O10" s="102">
        <f>'Tax Levies and EQ Tax Rates'!I5</f>
        <v>23810385</v>
      </c>
      <c r="P10" s="102">
        <f t="shared" ref="P10:P47" si="5">N10*O10</f>
        <v>19676209.171068575</v>
      </c>
      <c r="Q10" s="103">
        <v>20629</v>
      </c>
      <c r="R10" s="118">
        <f t="shared" ref="R10:R47" si="6">P10/Q10</f>
        <v>953.81303849282926</v>
      </c>
    </row>
    <row r="11" spans="1:28" ht="15.75" x14ac:dyDescent="0.25">
      <c r="A11" s="95" t="s">
        <v>27</v>
      </c>
      <c r="B11" s="96" t="s">
        <v>54</v>
      </c>
      <c r="C11" s="97">
        <f t="shared" si="0"/>
        <v>1490.7657213752905</v>
      </c>
      <c r="D11" s="99">
        <f t="shared" si="1"/>
        <v>278024.11022367724</v>
      </c>
      <c r="E11" s="18">
        <f t="shared" ref="E11:E47" si="7">0.5*F11</f>
        <v>110944</v>
      </c>
      <c r="F11" s="115">
        <v>221888</v>
      </c>
      <c r="G11" s="123">
        <f t="shared" si="2"/>
        <v>-56136.110223677242</v>
      </c>
      <c r="H11" s="123">
        <f t="shared" ref="H11:H26" si="8">0.5*I11</f>
        <v>262105</v>
      </c>
      <c r="I11" s="116">
        <v>524210</v>
      </c>
      <c r="J11" s="123">
        <f t="shared" si="3"/>
        <v>246185.88977632276</v>
      </c>
      <c r="K11" s="130">
        <v>0.53620015910704022</v>
      </c>
      <c r="L11" s="101">
        <f>'# and Assessed Value of Parcels'!G6/'# and Assessed Value of Parcels'!O6</f>
        <v>0.96785505552308593</v>
      </c>
      <c r="M11" s="101">
        <f>'# and Assessed Value of Parcels'!H6/'# and Assessed Value of Parcels'!P6</f>
        <v>0.93507137588122136</v>
      </c>
      <c r="N11" s="101">
        <f t="shared" si="4"/>
        <v>0.95146321570215364</v>
      </c>
      <c r="O11" s="102">
        <f>'Tax Levies and EQ Tax Rates'!I6</f>
        <v>10090281.039999999</v>
      </c>
      <c r="P11" s="102">
        <f t="shared" si="5"/>
        <v>9600531.2456568703</v>
      </c>
      <c r="Q11" s="103">
        <v>10143</v>
      </c>
      <c r="R11" s="119">
        <f t="shared" si="6"/>
        <v>946.51791833351774</v>
      </c>
    </row>
    <row r="12" spans="1:28" ht="15.75" x14ac:dyDescent="0.25">
      <c r="A12" s="95" t="s">
        <v>27</v>
      </c>
      <c r="B12" s="96" t="s">
        <v>28</v>
      </c>
      <c r="C12" s="97">
        <f t="shared" si="0"/>
        <v>1546.0273946746568</v>
      </c>
      <c r="D12" s="99">
        <f t="shared" si="1"/>
        <v>185247.22747611752</v>
      </c>
      <c r="E12" s="18">
        <f t="shared" si="7"/>
        <v>186862</v>
      </c>
      <c r="F12" s="115">
        <v>373724</v>
      </c>
      <c r="G12" s="123">
        <f t="shared" si="2"/>
        <v>188476.77252388248</v>
      </c>
      <c r="H12" s="123">
        <f t="shared" si="8"/>
        <v>213444</v>
      </c>
      <c r="I12" s="116">
        <v>426888</v>
      </c>
      <c r="J12" s="123">
        <f t="shared" si="3"/>
        <v>241640.77252388248</v>
      </c>
      <c r="K12" s="130">
        <v>0.8345751867589889</v>
      </c>
      <c r="L12" s="101">
        <f>'# and Assessed Value of Parcels'!G7/'# and Assessed Value of Parcels'!O7</f>
        <v>0.98144233027953953</v>
      </c>
      <c r="M12" s="101">
        <f>'# and Assessed Value of Parcels'!H7/'# and Assessed Value of Parcels'!P7</f>
        <v>0.94433258765869066</v>
      </c>
      <c r="N12" s="101">
        <f t="shared" si="4"/>
        <v>0.9628874589691151</v>
      </c>
      <c r="O12" s="102">
        <f>'Tax Levies and EQ Tax Rates'!I7</f>
        <v>17251960.34</v>
      </c>
      <c r="P12" s="102">
        <f t="shared" si="5"/>
        <v>16611696.254018551</v>
      </c>
      <c r="Q12" s="103">
        <v>16923</v>
      </c>
      <c r="R12" s="119">
        <f t="shared" si="6"/>
        <v>981.60469503152819</v>
      </c>
    </row>
    <row r="13" spans="1:28" ht="15.75" x14ac:dyDescent="0.25">
      <c r="A13" s="95" t="s">
        <v>27</v>
      </c>
      <c r="B13" s="96" t="s">
        <v>55</v>
      </c>
      <c r="C13" s="97">
        <f t="shared" si="0"/>
        <v>1761.2187894954561</v>
      </c>
      <c r="D13" s="99">
        <f t="shared" si="1"/>
        <v>291944.65650307323</v>
      </c>
      <c r="E13" s="18">
        <f t="shared" si="7"/>
        <v>183086.5</v>
      </c>
      <c r="F13" s="115">
        <v>366173</v>
      </c>
      <c r="G13" s="123">
        <f t="shared" si="2"/>
        <v>74228.343496926769</v>
      </c>
      <c r="H13" s="123">
        <f t="shared" si="8"/>
        <v>249394.5</v>
      </c>
      <c r="I13" s="116">
        <v>498789</v>
      </c>
      <c r="J13" s="123">
        <f t="shared" si="3"/>
        <v>206844.34349692677</v>
      </c>
      <c r="K13" s="130">
        <v>0.60327145925238612</v>
      </c>
      <c r="L13" s="101">
        <f>'# and Assessed Value of Parcels'!G8/'# and Assessed Value of Parcels'!O8</f>
        <v>0.95667319834530806</v>
      </c>
      <c r="M13" s="101">
        <f>'# and Assessed Value of Parcels'!H8/'# and Assessed Value of Parcels'!P8</f>
        <v>0.84635298341916665</v>
      </c>
      <c r="N13" s="101">
        <f t="shared" si="4"/>
        <v>0.9015130908822373</v>
      </c>
      <c r="O13" s="102">
        <f>'Tax Levies and EQ Tax Rates'!I8</f>
        <v>15812581.220000001</v>
      </c>
      <c r="P13" s="102">
        <f t="shared" si="5"/>
        <v>14255248.97046862</v>
      </c>
      <c r="Q13" s="103">
        <v>12748</v>
      </c>
      <c r="R13" s="119">
        <f t="shared" si="6"/>
        <v>1118.2341520606071</v>
      </c>
    </row>
    <row r="14" spans="1:28" ht="15.75" x14ac:dyDescent="0.25">
      <c r="A14" s="95" t="s">
        <v>27</v>
      </c>
      <c r="B14" s="96" t="s">
        <v>56</v>
      </c>
      <c r="C14" s="97">
        <f t="shared" si="0"/>
        <v>1834.0875778019156</v>
      </c>
      <c r="D14" s="99">
        <f t="shared" si="1"/>
        <v>249996.19968217023</v>
      </c>
      <c r="E14" s="18">
        <f t="shared" si="7"/>
        <v>234327.5</v>
      </c>
      <c r="F14" s="115">
        <v>468655</v>
      </c>
      <c r="G14" s="123">
        <f t="shared" si="2"/>
        <v>218658.80031782977</v>
      </c>
      <c r="H14" s="123">
        <f t="shared" si="8"/>
        <v>229733.5</v>
      </c>
      <c r="I14" s="116">
        <v>459467</v>
      </c>
      <c r="J14" s="123">
        <f t="shared" si="3"/>
        <v>209470.80031782977</v>
      </c>
      <c r="K14" s="130">
        <v>0.73364618347545341</v>
      </c>
      <c r="L14" s="101">
        <f>'# and Assessed Value of Parcels'!G9/'# and Assessed Value of Parcels'!O9</f>
        <v>0.91940211019929663</v>
      </c>
      <c r="M14" s="101">
        <f>'# and Assessed Value of Parcels'!H9/'# and Assessed Value of Parcels'!P9</f>
        <v>0.75552222177542272</v>
      </c>
      <c r="N14" s="101">
        <f t="shared" si="4"/>
        <v>0.83746216598735967</v>
      </c>
      <c r="O14" s="102">
        <f>'Tax Levies and EQ Tax Rates'!I9</f>
        <v>15687741</v>
      </c>
      <c r="P14" s="102">
        <f t="shared" si="5"/>
        <v>13137889.557308707</v>
      </c>
      <c r="Q14" s="103">
        <v>11282</v>
      </c>
      <c r="R14" s="119">
        <f t="shared" si="6"/>
        <v>1164.5000493980417</v>
      </c>
    </row>
    <row r="15" spans="1:28" ht="15.75" x14ac:dyDescent="0.25">
      <c r="A15" s="95" t="s">
        <v>57</v>
      </c>
      <c r="B15" s="96" t="s">
        <v>58</v>
      </c>
      <c r="C15" s="97">
        <f t="shared" si="0"/>
        <v>615.59801474951246</v>
      </c>
      <c r="D15" s="99">
        <f t="shared" si="1"/>
        <v>157779.42707138954</v>
      </c>
      <c r="E15" s="18">
        <f t="shared" si="7"/>
        <v>233196.0824213406</v>
      </c>
      <c r="F15" s="115">
        <v>466392.1648426812</v>
      </c>
      <c r="G15" s="123">
        <f t="shared" si="2"/>
        <v>308612.73777129163</v>
      </c>
      <c r="H15" s="123">
        <f t="shared" si="8"/>
        <v>153418</v>
      </c>
      <c r="I15" s="116">
        <v>306836</v>
      </c>
      <c r="J15" s="123">
        <f t="shared" si="3"/>
        <v>149056.57292861046</v>
      </c>
      <c r="K15" s="130">
        <v>0.39016367734113805</v>
      </c>
      <c r="L15" s="101">
        <f>'# and Assessed Value of Parcels'!G10/'# and Assessed Value of Parcels'!O10</f>
        <v>0.96040113139624583</v>
      </c>
      <c r="M15" s="101">
        <f>'# and Assessed Value of Parcels'!H10/'# and Assessed Value of Parcels'!P10</f>
        <v>0.85301721781778006</v>
      </c>
      <c r="N15" s="101">
        <f t="shared" si="4"/>
        <v>0.90670917460701295</v>
      </c>
      <c r="O15" s="102">
        <f>'Tax Levies and EQ Tax Rates'!I10</f>
        <v>5518999.9199999999</v>
      </c>
      <c r="P15" s="102">
        <f t="shared" si="5"/>
        <v>5004127.8621193701</v>
      </c>
      <c r="Q15" s="103">
        <v>12803</v>
      </c>
      <c r="R15" s="119">
        <f t="shared" si="6"/>
        <v>390.85588238064281</v>
      </c>
    </row>
    <row r="16" spans="1:28" ht="15.75" x14ac:dyDescent="0.25">
      <c r="A16" s="95" t="s">
        <v>57</v>
      </c>
      <c r="B16" s="96" t="s">
        <v>59</v>
      </c>
      <c r="C16" s="97">
        <f t="shared" si="0"/>
        <v>788.0142502641653</v>
      </c>
      <c r="D16" s="99">
        <f t="shared" si="1"/>
        <v>208710.38205926865</v>
      </c>
      <c r="E16" s="18">
        <f t="shared" si="7"/>
        <v>54674.666666666664</v>
      </c>
      <c r="F16" s="115">
        <v>109349.33333333333</v>
      </c>
      <c r="G16" s="123">
        <f t="shared" si="2"/>
        <v>-99361.048725935325</v>
      </c>
      <c r="H16" s="123">
        <f t="shared" si="8"/>
        <v>185392</v>
      </c>
      <c r="I16" s="116">
        <v>370784</v>
      </c>
      <c r="J16" s="123">
        <f t="shared" si="3"/>
        <v>162073.61794073135</v>
      </c>
      <c r="K16" s="130">
        <v>0.37756351288762841</v>
      </c>
      <c r="L16" s="101">
        <f>'# and Assessed Value of Parcels'!G11/'# and Assessed Value of Parcels'!O11</f>
        <v>0.9585129938235637</v>
      </c>
      <c r="M16" s="101">
        <f>'# and Assessed Value of Parcels'!H11/'# and Assessed Value of Parcels'!P11</f>
        <v>0.91282274937277808</v>
      </c>
      <c r="N16" s="101">
        <f t="shared" si="4"/>
        <v>0.93566787159817089</v>
      </c>
      <c r="O16" s="102">
        <f>'Tax Levies and EQ Tax Rates'!I11</f>
        <v>13099197.74</v>
      </c>
      <c r="P16" s="102">
        <f t="shared" si="5"/>
        <v>12256498.469029371</v>
      </c>
      <c r="Q16" s="103">
        <v>24497</v>
      </c>
      <c r="R16" s="119">
        <f t="shared" si="6"/>
        <v>500.32650810423195</v>
      </c>
    </row>
    <row r="17" spans="1:18" ht="15.75" x14ac:dyDescent="0.25">
      <c r="A17" s="95" t="s">
        <v>57</v>
      </c>
      <c r="B17" s="96" t="s">
        <v>60</v>
      </c>
      <c r="C17" s="97">
        <f t="shared" si="0"/>
        <v>856.6450989996813</v>
      </c>
      <c r="D17" s="99">
        <f t="shared" si="1"/>
        <v>84497.331136696463</v>
      </c>
      <c r="E17" s="18">
        <f t="shared" si="7"/>
        <v>46953.375</v>
      </c>
      <c r="F17" s="115">
        <v>93906.75</v>
      </c>
      <c r="G17" s="123">
        <f t="shared" si="2"/>
        <v>9409.4188633035374</v>
      </c>
      <c r="H17" s="123">
        <f t="shared" si="8"/>
        <v>83156</v>
      </c>
      <c r="I17" s="116">
        <v>166312</v>
      </c>
      <c r="J17" s="123">
        <f t="shared" si="3"/>
        <v>81814.668863303537</v>
      </c>
      <c r="K17" s="130">
        <v>1.0138132027079465</v>
      </c>
      <c r="L17" s="101">
        <f>'# and Assessed Value of Parcels'!G12/'# and Assessed Value of Parcels'!O12</f>
        <v>0.9812830932151213</v>
      </c>
      <c r="M17" s="101">
        <f>'# and Assessed Value of Parcels'!H12/'# and Assessed Value of Parcels'!P12</f>
        <v>0.9332896028243699</v>
      </c>
      <c r="N17" s="101">
        <f t="shared" si="4"/>
        <v>0.95728634801974555</v>
      </c>
      <c r="O17" s="102">
        <f>'Tax Levies and EQ Tax Rates'!I12</f>
        <v>15285484.98</v>
      </c>
      <c r="P17" s="102">
        <f t="shared" si="5"/>
        <v>14632586.094214873</v>
      </c>
      <c r="Q17" s="103">
        <v>26903</v>
      </c>
      <c r="R17" s="119">
        <f t="shared" si="6"/>
        <v>543.90165015852779</v>
      </c>
    </row>
    <row r="18" spans="1:18" ht="15.75" x14ac:dyDescent="0.25">
      <c r="A18" s="95" t="s">
        <v>57</v>
      </c>
      <c r="B18" s="96" t="s">
        <v>61</v>
      </c>
      <c r="C18" s="97">
        <f t="shared" si="0"/>
        <v>606.64587355662059</v>
      </c>
      <c r="D18" s="99">
        <f t="shared" si="1"/>
        <v>178815.73904069833</v>
      </c>
      <c r="E18" s="18">
        <f t="shared" si="7"/>
        <v>65732.524999999994</v>
      </c>
      <c r="F18" s="115">
        <v>131465.04999999999</v>
      </c>
      <c r="G18" s="123">
        <f t="shared" si="2"/>
        <v>-47350.689040698344</v>
      </c>
      <c r="H18" s="123">
        <f t="shared" si="8"/>
        <v>119267</v>
      </c>
      <c r="I18" s="116">
        <v>238534</v>
      </c>
      <c r="J18" s="123">
        <f t="shared" si="3"/>
        <v>59718.260959301668</v>
      </c>
      <c r="K18" s="130">
        <v>0.33925753784936591</v>
      </c>
      <c r="L18" s="101">
        <f>'# and Assessed Value of Parcels'!G13/'# and Assessed Value of Parcels'!O13</f>
        <v>0.96051204165762638</v>
      </c>
      <c r="M18" s="101">
        <f>'# and Assessed Value of Parcels'!H13/'# and Assessed Value of Parcels'!P13</f>
        <v>0.90183161244513477</v>
      </c>
      <c r="N18" s="101">
        <f t="shared" si="4"/>
        <v>0.93117182705138057</v>
      </c>
      <c r="O18" s="102">
        <f>'Tax Levies and EQ Tax Rates'!I13</f>
        <v>4267546.8</v>
      </c>
      <c r="P18" s="102">
        <f t="shared" si="5"/>
        <v>3973819.3507832726</v>
      </c>
      <c r="Q18" s="103">
        <v>10317</v>
      </c>
      <c r="R18" s="119">
        <f t="shared" si="6"/>
        <v>385.17198321055275</v>
      </c>
    </row>
    <row r="19" spans="1:18" ht="15.75" x14ac:dyDescent="0.25">
      <c r="A19" s="95" t="s">
        <v>62</v>
      </c>
      <c r="B19" s="96" t="s">
        <v>63</v>
      </c>
      <c r="C19" s="97">
        <f t="shared" si="0"/>
        <v>537.75317520043325</v>
      </c>
      <c r="D19" s="99">
        <f t="shared" si="1"/>
        <v>141282.19682598178</v>
      </c>
      <c r="E19" s="18">
        <f t="shared" si="7"/>
        <v>49310.17105263158</v>
      </c>
      <c r="F19" s="115">
        <v>98620.34210526316</v>
      </c>
      <c r="G19" s="123">
        <f t="shared" si="2"/>
        <v>-42661.85472071862</v>
      </c>
      <c r="H19" s="123">
        <f t="shared" si="8"/>
        <v>59244.5</v>
      </c>
      <c r="I19" s="116">
        <v>118489</v>
      </c>
      <c r="J19" s="123">
        <f t="shared" si="3"/>
        <v>-22793.19682598178</v>
      </c>
      <c r="K19" s="130">
        <v>0.38062345241048834</v>
      </c>
      <c r="L19" s="101">
        <f>'# and Assessed Value of Parcels'!G14/'# and Assessed Value of Parcels'!O14</f>
        <v>0.94935451837140017</v>
      </c>
      <c r="M19" s="101">
        <f>'# and Assessed Value of Parcels'!H14/'# and Assessed Value of Parcels'!P14</f>
        <v>0.95309491622629139</v>
      </c>
      <c r="N19" s="101">
        <f t="shared" si="4"/>
        <v>0.95122471729884572</v>
      </c>
      <c r="O19" s="102">
        <f>'Tax Levies and EQ Tax Rates'!I14</f>
        <v>502154.1</v>
      </c>
      <c r="P19" s="102">
        <f t="shared" si="5"/>
        <v>477661.39181295631</v>
      </c>
      <c r="Q19" s="103">
        <v>1399</v>
      </c>
      <c r="R19" s="119">
        <f t="shared" si="6"/>
        <v>341.43058742884654</v>
      </c>
    </row>
    <row r="20" spans="1:18" ht="15.75" x14ac:dyDescent="0.25">
      <c r="A20" s="95" t="s">
        <v>62</v>
      </c>
      <c r="B20" s="120" t="s">
        <v>64</v>
      </c>
      <c r="C20" s="97">
        <f t="shared" si="0"/>
        <v>360.99800559069888</v>
      </c>
      <c r="D20" s="99">
        <f t="shared" si="1"/>
        <v>73853.745099926149</v>
      </c>
      <c r="E20" s="18">
        <f t="shared" si="7"/>
        <v>43528.828571428574</v>
      </c>
      <c r="F20" s="115">
        <v>87057.657142857148</v>
      </c>
      <c r="G20" s="123">
        <f t="shared" si="2"/>
        <v>13203.912042930999</v>
      </c>
      <c r="H20" s="123">
        <f t="shared" si="8"/>
        <v>71421.5</v>
      </c>
      <c r="I20" s="116">
        <v>142843</v>
      </c>
      <c r="J20" s="123">
        <f t="shared" si="3"/>
        <v>68989.254900073851</v>
      </c>
      <c r="K20" s="130">
        <v>0.48880121800493487</v>
      </c>
      <c r="L20" s="101">
        <f>'# and Assessed Value of Parcels'!G15/'# and Assessed Value of Parcels'!O15</f>
        <v>0.95576808129109381</v>
      </c>
      <c r="M20" s="101">
        <f>'# and Assessed Value of Parcels'!H15/'# and Assessed Value of Parcels'!P15</f>
        <v>0.9003796958191036</v>
      </c>
      <c r="N20" s="101">
        <f t="shared" si="4"/>
        <v>0.92807388855509876</v>
      </c>
      <c r="O20" s="102">
        <f>'Tax Levies and EQ Tax Rates'!I15</f>
        <v>1369687.7</v>
      </c>
      <c r="P20" s="102">
        <f t="shared" si="5"/>
        <v>1271171.3898450895</v>
      </c>
      <c r="Q20" s="103">
        <v>5546</v>
      </c>
      <c r="R20" s="119">
        <f t="shared" si="6"/>
        <v>229.20508291472945</v>
      </c>
    </row>
    <row r="21" spans="1:18" ht="15.75" customHeight="1" x14ac:dyDescent="0.25">
      <c r="A21" s="95" t="s">
        <v>62</v>
      </c>
      <c r="B21" s="96" t="s">
        <v>65</v>
      </c>
      <c r="C21" s="97">
        <f t="shared" si="0"/>
        <v>595.63621702821774</v>
      </c>
      <c r="D21" s="99">
        <f t="shared" si="1"/>
        <v>109243.37151696824</v>
      </c>
      <c r="E21" s="18">
        <f t="shared" si="7"/>
        <v>18042.5</v>
      </c>
      <c r="F21" s="115">
        <v>36085</v>
      </c>
      <c r="G21" s="123">
        <f t="shared" si="2"/>
        <v>-73158.37151696824</v>
      </c>
      <c r="H21" s="123">
        <f t="shared" si="8"/>
        <v>82539</v>
      </c>
      <c r="I21" s="116">
        <v>165078</v>
      </c>
      <c r="J21" s="123">
        <f t="shared" si="3"/>
        <v>55834.62848303176</v>
      </c>
      <c r="K21" s="130">
        <v>0.54523785631762611</v>
      </c>
      <c r="L21" s="101">
        <f>'# and Assessed Value of Parcels'!G16/'# and Assessed Value of Parcels'!O16</f>
        <v>0.96660808435852374</v>
      </c>
      <c r="M21" s="101">
        <f>'# and Assessed Value of Parcels'!H16/'# and Assessed Value of Parcels'!P16</f>
        <v>0.93631576070851408</v>
      </c>
      <c r="N21" s="101">
        <f t="shared" si="4"/>
        <v>0.95146192253351891</v>
      </c>
      <c r="O21" s="102">
        <f>'Tax Levies and EQ Tax Rates'!I16</f>
        <v>1227003.3700000001</v>
      </c>
      <c r="P21" s="102">
        <f t="shared" si="5"/>
        <v>1167446.9853753068</v>
      </c>
      <c r="Q21" s="103">
        <v>3087</v>
      </c>
      <c r="R21" s="119">
        <f t="shared" si="6"/>
        <v>378.18172509728112</v>
      </c>
    </row>
    <row r="22" spans="1:18" ht="15.75" customHeight="1" x14ac:dyDescent="0.25">
      <c r="A22" s="133" t="s">
        <v>29</v>
      </c>
      <c r="B22" s="134" t="s">
        <v>64</v>
      </c>
      <c r="C22" s="135">
        <f t="shared" si="0"/>
        <v>1956.5816465445353</v>
      </c>
      <c r="D22" s="136">
        <f t="shared" si="1"/>
        <v>450021.93892176339</v>
      </c>
      <c r="E22" s="18">
        <f t="shared" si="7"/>
        <v>109844.5</v>
      </c>
      <c r="F22" s="143">
        <v>219689</v>
      </c>
      <c r="G22" s="137">
        <f t="shared" si="2"/>
        <v>-230332.93892176339</v>
      </c>
      <c r="H22" s="123">
        <f t="shared" si="8"/>
        <v>301609.22180063894</v>
      </c>
      <c r="I22" s="144">
        <v>603218.44360127789</v>
      </c>
      <c r="J22" s="137">
        <f t="shared" si="3"/>
        <v>153196.5046795145</v>
      </c>
      <c r="K22" s="138">
        <v>0.43477472481284701</v>
      </c>
      <c r="L22" s="139">
        <f>'[1]# and Assessed Value of Parcels'!G17/'[1]# and Assessed Value of Parcels'!O17</f>
        <v>0.78907203907203904</v>
      </c>
      <c r="M22" s="139">
        <f>'[1]# and Assessed Value of Parcels'!H17/'[1]# and Assessed Value of Parcels'!P17</f>
        <v>0.44402101784565112</v>
      </c>
      <c r="N22" s="139">
        <f t="shared" si="4"/>
        <v>0.61654652845884506</v>
      </c>
      <c r="O22" s="140">
        <f>'[1]Tax Levies and EQ Tax Rates'!I17</f>
        <v>15861222.08</v>
      </c>
      <c r="P22" s="140">
        <f t="shared" si="5"/>
        <v>9779181.4105387814</v>
      </c>
      <c r="Q22" s="141">
        <v>7872</v>
      </c>
      <c r="R22" s="142">
        <f t="shared" si="6"/>
        <v>1242.2740612981177</v>
      </c>
    </row>
    <row r="23" spans="1:18" ht="15.75" customHeight="1" x14ac:dyDescent="0.25">
      <c r="A23" s="95" t="s">
        <v>29</v>
      </c>
      <c r="B23" s="96" t="s">
        <v>30</v>
      </c>
      <c r="C23" s="97">
        <f t="shared" si="0"/>
        <v>883.15754796156727</v>
      </c>
      <c r="D23" s="99">
        <f t="shared" si="1"/>
        <v>52462.395888434308</v>
      </c>
      <c r="E23" s="18">
        <f t="shared" si="7"/>
        <v>82264.833333333328</v>
      </c>
      <c r="F23" s="115">
        <v>164529.66666666666</v>
      </c>
      <c r="G23" s="123">
        <f t="shared" si="2"/>
        <v>112067.27077823234</v>
      </c>
      <c r="H23" s="123">
        <f t="shared" si="8"/>
        <v>103417.5</v>
      </c>
      <c r="I23" s="116">
        <v>206835</v>
      </c>
      <c r="J23" s="123">
        <f t="shared" si="3"/>
        <v>154372.60411156568</v>
      </c>
      <c r="K23" s="130">
        <v>1.6834106277564524</v>
      </c>
      <c r="L23" s="101">
        <f>'# and Assessed Value of Parcels'!G18/'# and Assessed Value of Parcels'!O18</f>
        <v>0.84162883700821445</v>
      </c>
      <c r="M23" s="101">
        <f>'# and Assessed Value of Parcels'!H18/'# and Assessed Value of Parcels'!P18</f>
        <v>0.54365223337971258</v>
      </c>
      <c r="N23" s="101">
        <f t="shared" si="4"/>
        <v>0.69264053519396351</v>
      </c>
      <c r="O23" s="102">
        <f>'Tax Levies and EQ Tax Rates'!I18</f>
        <v>252218004</v>
      </c>
      <c r="P23" s="102">
        <f t="shared" si="5"/>
        <v>174696413.27611324</v>
      </c>
      <c r="Q23" s="103">
        <v>311549</v>
      </c>
      <c r="R23" s="119">
        <f t="shared" si="6"/>
        <v>560.73495108670943</v>
      </c>
    </row>
    <row r="24" spans="1:18" ht="15.75" customHeight="1" x14ac:dyDescent="0.25">
      <c r="A24" s="95" t="s">
        <v>66</v>
      </c>
      <c r="B24" s="96" t="s">
        <v>67</v>
      </c>
      <c r="C24" s="97">
        <f t="shared" si="0"/>
        <v>674.83855835646182</v>
      </c>
      <c r="D24" s="99">
        <f t="shared" si="1"/>
        <v>227723.18459105154</v>
      </c>
      <c r="E24" s="18">
        <f t="shared" si="7"/>
        <v>30345.75</v>
      </c>
      <c r="F24" s="115">
        <v>60691.5</v>
      </c>
      <c r="G24" s="123">
        <f t="shared" si="2"/>
        <v>-167031.68459105154</v>
      </c>
      <c r="H24" s="123">
        <f t="shared" si="8"/>
        <v>189913.5</v>
      </c>
      <c r="I24" s="116">
        <v>379827</v>
      </c>
      <c r="J24" s="123">
        <f t="shared" si="3"/>
        <v>152103.81540894846</v>
      </c>
      <c r="K24" s="130">
        <v>0.2963416129843548</v>
      </c>
      <c r="L24" s="101">
        <f>'# and Assessed Value of Parcels'!G19/'# and Assessed Value of Parcels'!O19</f>
        <v>0.96383866481223923</v>
      </c>
      <c r="M24" s="101">
        <f>'# and Assessed Value of Parcels'!H19/'# and Assessed Value of Parcels'!P19</f>
        <v>0.93906348074760293</v>
      </c>
      <c r="N24" s="101">
        <f t="shared" si="4"/>
        <v>0.95145107277992103</v>
      </c>
      <c r="O24" s="102">
        <f>'Tax Levies and EQ Tax Rates'!I19</f>
        <v>2789807.14</v>
      </c>
      <c r="P24" s="102">
        <f t="shared" si="5"/>
        <v>2654364.9962020833</v>
      </c>
      <c r="Q24" s="103">
        <v>6195</v>
      </c>
      <c r="R24" s="119">
        <f t="shared" si="6"/>
        <v>428.46892594061069</v>
      </c>
    </row>
    <row r="25" spans="1:18" ht="15.75" customHeight="1" x14ac:dyDescent="0.25">
      <c r="A25" s="95" t="s">
        <v>31</v>
      </c>
      <c r="B25" s="96" t="s">
        <v>32</v>
      </c>
      <c r="C25" s="97">
        <f t="shared" si="0"/>
        <v>1240.4095654979606</v>
      </c>
      <c r="D25" s="99">
        <f t="shared" si="1"/>
        <v>214472.09595880503</v>
      </c>
      <c r="E25" s="18">
        <f t="shared" si="7"/>
        <v>114092.91666666667</v>
      </c>
      <c r="F25" s="115">
        <v>228185.83333333334</v>
      </c>
      <c r="G25" s="123">
        <f t="shared" si="2"/>
        <v>13713.737374528311</v>
      </c>
      <c r="H25" s="123">
        <f t="shared" si="8"/>
        <v>190156</v>
      </c>
      <c r="I25" s="116">
        <v>380312</v>
      </c>
      <c r="J25" s="123">
        <f t="shared" si="3"/>
        <v>165839.90404119497</v>
      </c>
      <c r="K25" s="130">
        <v>0.5783547551734719</v>
      </c>
      <c r="L25" s="101">
        <f>'# and Assessed Value of Parcels'!G20/'# and Assessed Value of Parcels'!O20</f>
        <v>0.95667524385135538</v>
      </c>
      <c r="M25" s="101">
        <f>'# and Assessed Value of Parcels'!H20/'# and Assessed Value of Parcels'!P20</f>
        <v>0.81220548036186702</v>
      </c>
      <c r="N25" s="101">
        <f t="shared" si="4"/>
        <v>0.88444036210661126</v>
      </c>
      <c r="O25" s="102">
        <f>'Tax Levies and EQ Tax Rates'!I20</f>
        <v>44269379.890000001</v>
      </c>
      <c r="P25" s="102">
        <f t="shared" si="5"/>
        <v>39153626.380146734</v>
      </c>
      <c r="Q25" s="103">
        <v>49715</v>
      </c>
      <c r="R25" s="119">
        <f t="shared" si="6"/>
        <v>787.561628887594</v>
      </c>
    </row>
    <row r="26" spans="1:18" ht="15.75" customHeight="1" x14ac:dyDescent="0.25">
      <c r="A26" s="95" t="s">
        <v>31</v>
      </c>
      <c r="B26" s="96" t="s">
        <v>33</v>
      </c>
      <c r="C26" s="97">
        <f t="shared" si="0"/>
        <v>827.79154065940361</v>
      </c>
      <c r="D26" s="99">
        <f t="shared" si="1"/>
        <v>187406.92318070465</v>
      </c>
      <c r="E26" s="18">
        <f t="shared" si="7"/>
        <v>65565.357142857145</v>
      </c>
      <c r="F26" s="115">
        <v>131130.71428571429</v>
      </c>
      <c r="G26" s="123">
        <f t="shared" si="2"/>
        <v>-56276.208894990355</v>
      </c>
      <c r="H26" s="123">
        <f t="shared" si="8"/>
        <v>187762.5</v>
      </c>
      <c r="I26" s="116">
        <v>375525</v>
      </c>
      <c r="J26" s="123">
        <f t="shared" si="3"/>
        <v>188118.07681929535</v>
      </c>
      <c r="K26" s="130">
        <v>0.44170808986667826</v>
      </c>
      <c r="L26" s="101">
        <f>'# and Assessed Value of Parcels'!G21/'# and Assessed Value of Parcels'!O21</f>
        <v>0.97122792306482886</v>
      </c>
      <c r="M26" s="101">
        <f>'# and Assessed Value of Parcels'!H21/'# and Assessed Value of Parcels'!P21</f>
        <v>0.88589383044965919</v>
      </c>
      <c r="N26" s="101">
        <f t="shared" si="4"/>
        <v>0.92856087675724397</v>
      </c>
      <c r="O26" s="102">
        <f>'Tax Levies and EQ Tax Rates'!I21</f>
        <v>37853002.5</v>
      </c>
      <c r="P26" s="102">
        <f t="shared" si="5"/>
        <v>35148817.189294145</v>
      </c>
      <c r="Q26" s="103">
        <v>66876</v>
      </c>
      <c r="R26" s="119">
        <f t="shared" si="6"/>
        <v>525.58193057739913</v>
      </c>
    </row>
    <row r="27" spans="1:18" ht="15.75" customHeight="1" x14ac:dyDescent="0.25">
      <c r="A27" s="95" t="s">
        <v>31</v>
      </c>
      <c r="B27" s="96" t="s">
        <v>34</v>
      </c>
      <c r="C27" s="97">
        <f t="shared" si="0"/>
        <v>1308.2275298797533</v>
      </c>
      <c r="D27" s="99">
        <f t="shared" si="1"/>
        <v>161013.08186051811</v>
      </c>
      <c r="E27" s="18">
        <f t="shared" si="7"/>
        <v>153039.90625</v>
      </c>
      <c r="F27" s="115">
        <v>306079.8125</v>
      </c>
      <c r="G27" s="123">
        <f t="shared" si="2"/>
        <v>145066.73063948189</v>
      </c>
      <c r="H27" s="123">
        <f>0.5*I27</f>
        <v>162441.5</v>
      </c>
      <c r="I27" s="116">
        <v>324883</v>
      </c>
      <c r="J27" s="123">
        <f t="shared" si="3"/>
        <v>163869.91813948189</v>
      </c>
      <c r="K27" s="130">
        <v>0.81249766463885231</v>
      </c>
      <c r="L27" s="101">
        <f>'# and Assessed Value of Parcels'!G22/'# and Assessed Value of Parcels'!O22</f>
        <v>0.92460317460317465</v>
      </c>
      <c r="M27" s="101">
        <f>'# and Assessed Value of Parcels'!H22/'# and Assessed Value of Parcels'!P22</f>
        <v>0.82398227250676292</v>
      </c>
      <c r="N27" s="101">
        <f t="shared" si="4"/>
        <v>0.87429272355496879</v>
      </c>
      <c r="O27" s="102">
        <f>'Tax Levies and EQ Tax Rates'!I22</f>
        <v>13904912.58</v>
      </c>
      <c r="P27" s="102">
        <f t="shared" si="5"/>
        <v>12156963.890361948</v>
      </c>
      <c r="Q27" s="103">
        <v>14636</v>
      </c>
      <c r="R27" s="119">
        <f t="shared" si="6"/>
        <v>830.62065389190684</v>
      </c>
    </row>
    <row r="28" spans="1:18" ht="15.75" customHeight="1" x14ac:dyDescent="0.25">
      <c r="A28" s="95" t="s">
        <v>31</v>
      </c>
      <c r="B28" s="96" t="s">
        <v>35</v>
      </c>
      <c r="C28" s="97">
        <f t="shared" si="0"/>
        <v>1119.3517014947092</v>
      </c>
      <c r="D28" s="99">
        <f t="shared" si="1"/>
        <v>165648.35373939559</v>
      </c>
      <c r="E28" s="18">
        <f t="shared" si="7"/>
        <v>104337.54</v>
      </c>
      <c r="F28" s="115">
        <v>208675.08</v>
      </c>
      <c r="G28" s="123">
        <f t="shared" si="2"/>
        <v>43026.726260604395</v>
      </c>
      <c r="H28" s="123">
        <f t="shared" ref="H28:H47" si="9">0.5*I28</f>
        <v>165477.5</v>
      </c>
      <c r="I28" s="116">
        <v>330955</v>
      </c>
      <c r="J28" s="123">
        <f t="shared" si="3"/>
        <v>165306.64626060441</v>
      </c>
      <c r="K28" s="130">
        <v>0.67573970777621895</v>
      </c>
      <c r="L28" s="101">
        <f>'# and Assessed Value of Parcels'!G23/'# and Assessed Value of Parcels'!O23</f>
        <v>0.96279666452854396</v>
      </c>
      <c r="M28" s="101">
        <f>'# and Assessed Value of Parcels'!H23/'# and Assessed Value of Parcels'!P23</f>
        <v>0.85286917759426784</v>
      </c>
      <c r="N28" s="101">
        <f t="shared" si="4"/>
        <v>0.9078329210614059</v>
      </c>
      <c r="O28" s="102">
        <f>'Tax Levies and EQ Tax Rates'!I23</f>
        <v>35498457.659999996</v>
      </c>
      <c r="P28" s="102">
        <f t="shared" si="5"/>
        <v>32226668.510652438</v>
      </c>
      <c r="Q28" s="103">
        <v>45345</v>
      </c>
      <c r="R28" s="119">
        <f t="shared" si="6"/>
        <v>710.69949301251381</v>
      </c>
    </row>
    <row r="29" spans="1:18" ht="15.75" customHeight="1" x14ac:dyDescent="0.25">
      <c r="A29" s="95" t="s">
        <v>31</v>
      </c>
      <c r="B29" s="96" t="s">
        <v>36</v>
      </c>
      <c r="C29" s="97">
        <f t="shared" si="0"/>
        <v>961.40301548174057</v>
      </c>
      <c r="D29" s="99">
        <f t="shared" si="1"/>
        <v>136254.51221813945</v>
      </c>
      <c r="E29" s="18">
        <f t="shared" si="7"/>
        <v>81734.833333333328</v>
      </c>
      <c r="F29" s="115">
        <v>163469.66666666666</v>
      </c>
      <c r="G29" s="123">
        <f t="shared" si="2"/>
        <v>27215.154448527202</v>
      </c>
      <c r="H29" s="123">
        <f t="shared" si="9"/>
        <v>146735</v>
      </c>
      <c r="I29" s="116">
        <v>293470</v>
      </c>
      <c r="J29" s="123">
        <f t="shared" si="3"/>
        <v>157215.48778186055</v>
      </c>
      <c r="K29" s="130">
        <v>0.70559352481667736</v>
      </c>
      <c r="L29" s="101">
        <f>'# and Assessed Value of Parcels'!G24/'# and Assessed Value of Parcels'!O24</f>
        <v>0.95376862401402274</v>
      </c>
      <c r="M29" s="101">
        <f>'# and Assessed Value of Parcels'!H24/'# and Assessed Value of Parcels'!P24</f>
        <v>0.87694473065069911</v>
      </c>
      <c r="N29" s="101">
        <f t="shared" si="4"/>
        <v>0.91535667733236092</v>
      </c>
      <c r="O29" s="102">
        <f>'Tax Levies and EQ Tax Rates'!I24</f>
        <v>10748447</v>
      </c>
      <c r="P29" s="102">
        <f t="shared" si="5"/>
        <v>9838662.7324029822</v>
      </c>
      <c r="Q29" s="103">
        <v>16118</v>
      </c>
      <c r="R29" s="119">
        <f t="shared" si="6"/>
        <v>610.41461300427977</v>
      </c>
    </row>
    <row r="30" spans="1:18" ht="15.75" customHeight="1" x14ac:dyDescent="0.25">
      <c r="A30" s="95" t="s">
        <v>31</v>
      </c>
      <c r="B30" s="96" t="s">
        <v>37</v>
      </c>
      <c r="C30" s="97">
        <f t="shared" si="0"/>
        <v>1322.8268410132519</v>
      </c>
      <c r="D30" s="99">
        <f t="shared" si="1"/>
        <v>160008.0573329012</v>
      </c>
      <c r="E30" s="18">
        <f t="shared" si="7"/>
        <v>116419.83526011561</v>
      </c>
      <c r="F30" s="115">
        <v>232839.67052023122</v>
      </c>
      <c r="G30" s="123">
        <f t="shared" si="2"/>
        <v>72831.613187330018</v>
      </c>
      <c r="H30" s="123">
        <f t="shared" si="9"/>
        <v>153810</v>
      </c>
      <c r="I30" s="116">
        <v>307620</v>
      </c>
      <c r="J30" s="123">
        <f t="shared" si="3"/>
        <v>147611.9426670988</v>
      </c>
      <c r="K30" s="130">
        <v>0.82672514313518219</v>
      </c>
      <c r="L30" s="101">
        <f>'# and Assessed Value of Parcels'!G25/'# and Assessed Value of Parcels'!O25</f>
        <v>0.95527753810756399</v>
      </c>
      <c r="M30" s="101">
        <f>'# and Assessed Value of Parcels'!H25/'# and Assessed Value of Parcels'!P25</f>
        <v>0.7164271010805654</v>
      </c>
      <c r="N30" s="101">
        <f t="shared" si="4"/>
        <v>0.8358523195940647</v>
      </c>
      <c r="O30" s="102">
        <f>'Tax Levies and EQ Tax Rates'!I25</f>
        <v>104139647.23</v>
      </c>
      <c r="P30" s="102">
        <f t="shared" si="5"/>
        <v>87045365.698903114</v>
      </c>
      <c r="Q30" s="103">
        <v>103639</v>
      </c>
      <c r="R30" s="119">
        <f t="shared" si="6"/>
        <v>839.89005778619162</v>
      </c>
    </row>
    <row r="31" spans="1:18" ht="15.75" customHeight="1" x14ac:dyDescent="0.25">
      <c r="A31" s="95" t="s">
        <v>38</v>
      </c>
      <c r="B31" s="96" t="s">
        <v>39</v>
      </c>
      <c r="C31" s="97">
        <f t="shared" si="0"/>
        <v>1796.7719139720693</v>
      </c>
      <c r="D31" s="99">
        <f t="shared" si="1"/>
        <v>95892.660558477626</v>
      </c>
      <c r="E31" s="18">
        <f t="shared" si="7"/>
        <v>67359.375</v>
      </c>
      <c r="F31" s="115">
        <v>134718.75</v>
      </c>
      <c r="G31" s="123">
        <f t="shared" si="2"/>
        <v>38826.089441522374</v>
      </c>
      <c r="H31" s="123">
        <f t="shared" si="9"/>
        <v>91945.5</v>
      </c>
      <c r="I31" s="116">
        <v>183891</v>
      </c>
      <c r="J31" s="123">
        <f t="shared" si="3"/>
        <v>87998.339441522374</v>
      </c>
      <c r="K31" s="130">
        <v>1.8737324666013986</v>
      </c>
      <c r="L31" s="101">
        <f>'# and Assessed Value of Parcels'!G26/'# and Assessed Value of Parcels'!O26</f>
        <v>0.96441281138790036</v>
      </c>
      <c r="M31" s="101">
        <f>'# and Assessed Value of Parcels'!H26/'# and Assessed Value of Parcels'!P26</f>
        <v>0.88303144331890093</v>
      </c>
      <c r="N31" s="101">
        <f t="shared" si="4"/>
        <v>0.92372212735340065</v>
      </c>
      <c r="O31" s="102">
        <f>'Tax Levies and EQ Tax Rates'!I26</f>
        <v>12047538.390000001</v>
      </c>
      <c r="P31" s="102">
        <f t="shared" si="5"/>
        <v>11128577.790982563</v>
      </c>
      <c r="Q31" s="103">
        <v>9755</v>
      </c>
      <c r="R31" s="119">
        <f t="shared" si="6"/>
        <v>1140.8075644267108</v>
      </c>
    </row>
    <row r="32" spans="1:18" ht="15.75" customHeight="1" x14ac:dyDescent="0.25">
      <c r="A32" s="95" t="s">
        <v>38</v>
      </c>
      <c r="B32" s="96" t="s">
        <v>40</v>
      </c>
      <c r="C32" s="97">
        <f t="shared" si="0"/>
        <v>910.28082218399072</v>
      </c>
      <c r="D32" s="99">
        <f t="shared" si="1"/>
        <v>272766.73133947368</v>
      </c>
      <c r="E32" s="18">
        <f t="shared" si="7"/>
        <v>146031.25</v>
      </c>
      <c r="F32" s="115">
        <v>292062.5</v>
      </c>
      <c r="G32" s="123">
        <f t="shared" si="2"/>
        <v>19295.768660526315</v>
      </c>
      <c r="H32" s="123">
        <f t="shared" si="9"/>
        <v>240243.5</v>
      </c>
      <c r="I32" s="116">
        <v>480487</v>
      </c>
      <c r="J32" s="123">
        <f t="shared" si="3"/>
        <v>207720.26866052632</v>
      </c>
      <c r="K32" s="130">
        <v>0.33372135146903037</v>
      </c>
      <c r="L32" s="101">
        <f>'# and Assessed Value of Parcels'!G27/'# and Assessed Value of Parcels'!O27</f>
        <v>0.97272104180945851</v>
      </c>
      <c r="M32" s="101">
        <f>'# and Assessed Value of Parcels'!H27/'# and Assessed Value of Parcels'!P27</f>
        <v>0.92205750411890763</v>
      </c>
      <c r="N32" s="101">
        <f t="shared" si="4"/>
        <v>0.94738927296418307</v>
      </c>
      <c r="O32" s="102">
        <f>'Tax Levies and EQ Tax Rates'!I27</f>
        <v>24954149.290000003</v>
      </c>
      <c r="P32" s="102">
        <f t="shared" si="5"/>
        <v>23641293.353292789</v>
      </c>
      <c r="Q32" s="103">
        <v>40905</v>
      </c>
      <c r="R32" s="119">
        <f t="shared" si="6"/>
        <v>577.95607757713697</v>
      </c>
    </row>
    <row r="33" spans="1:18" ht="15.75" customHeight="1" x14ac:dyDescent="0.25">
      <c r="A33" s="95" t="s">
        <v>38</v>
      </c>
      <c r="B33" s="96" t="s">
        <v>68</v>
      </c>
      <c r="C33" s="97">
        <f t="shared" si="0"/>
        <v>1196.7172718470586</v>
      </c>
      <c r="D33" s="99">
        <f t="shared" si="1"/>
        <v>295691.63696312619</v>
      </c>
      <c r="E33" s="18">
        <f t="shared" si="7"/>
        <v>449999.4</v>
      </c>
      <c r="F33" s="115">
        <v>899998.8</v>
      </c>
      <c r="G33" s="123">
        <f t="shared" si="2"/>
        <v>604307.1630368738</v>
      </c>
      <c r="H33" s="123">
        <f t="shared" si="9"/>
        <v>271006</v>
      </c>
      <c r="I33" s="116">
        <v>542012</v>
      </c>
      <c r="J33" s="123">
        <f t="shared" si="3"/>
        <v>246320.36303687381</v>
      </c>
      <c r="K33" s="130">
        <v>0.4047179974847559</v>
      </c>
      <c r="L33" s="101">
        <f>'# and Assessed Value of Parcels'!G28/'# and Assessed Value of Parcels'!O28</f>
        <v>0.95530168589174802</v>
      </c>
      <c r="M33" s="101">
        <f>'# and Assessed Value of Parcels'!H28/'# and Assessed Value of Parcels'!P28</f>
        <v>0.88451081022686973</v>
      </c>
      <c r="N33" s="101">
        <f t="shared" si="4"/>
        <v>0.91990624805930887</v>
      </c>
      <c r="O33" s="102">
        <f>'Tax Levies and EQ Tax Rates'!I28</f>
        <v>22856408.080000002</v>
      </c>
      <c r="P33" s="102">
        <f t="shared" si="5"/>
        <v>21025752.600985274</v>
      </c>
      <c r="Q33" s="103">
        <v>27672</v>
      </c>
      <c r="R33" s="119">
        <f t="shared" si="6"/>
        <v>759.82049006162447</v>
      </c>
    </row>
    <row r="34" spans="1:18" ht="15.75" customHeight="1" x14ac:dyDescent="0.25">
      <c r="A34" s="95" t="s">
        <v>38</v>
      </c>
      <c r="B34" s="96" t="s">
        <v>69</v>
      </c>
      <c r="C34" s="97">
        <f t="shared" si="0"/>
        <v>4445.7518469183096</v>
      </c>
      <c r="D34" s="99">
        <f t="shared" si="1"/>
        <v>865577.97228561947</v>
      </c>
      <c r="E34" s="18">
        <f t="shared" si="7"/>
        <v>719488</v>
      </c>
      <c r="F34" s="115">
        <v>1438976</v>
      </c>
      <c r="G34" s="123">
        <f t="shared" si="2"/>
        <v>573398.02771438053</v>
      </c>
      <c r="H34" s="123">
        <f t="shared" si="9"/>
        <v>348659</v>
      </c>
      <c r="I34" s="116">
        <v>697318</v>
      </c>
      <c r="J34" s="123">
        <f t="shared" si="3"/>
        <v>-168259.97228561947</v>
      </c>
      <c r="K34" s="130">
        <v>0.51361656479993245</v>
      </c>
      <c r="L34" s="101">
        <f>'# and Assessed Value of Parcels'!G29/'# and Assessed Value of Parcels'!O29</f>
        <v>0.93580470162748641</v>
      </c>
      <c r="M34" s="101">
        <f>'# and Assessed Value of Parcels'!H29/'# and Assessed Value of Parcels'!P29</f>
        <v>0.81959946110420667</v>
      </c>
      <c r="N34" s="101">
        <f t="shared" si="4"/>
        <v>0.87770208136584649</v>
      </c>
      <c r="O34" s="102">
        <f>'Tax Levies and EQ Tax Rates'!I29</f>
        <v>4660000</v>
      </c>
      <c r="P34" s="102">
        <f t="shared" si="5"/>
        <v>4090091.6991648446</v>
      </c>
      <c r="Q34" s="103">
        <v>1449</v>
      </c>
      <c r="R34" s="119">
        <f t="shared" si="6"/>
        <v>2822.6995853449585</v>
      </c>
    </row>
    <row r="35" spans="1:18" ht="15.75" customHeight="1" x14ac:dyDescent="0.25">
      <c r="A35" s="95" t="s">
        <v>70</v>
      </c>
      <c r="B35" s="96" t="s">
        <v>71</v>
      </c>
      <c r="C35" s="97">
        <f t="shared" si="0"/>
        <v>1243.0461629204585</v>
      </c>
      <c r="D35" s="99">
        <f t="shared" si="1"/>
        <v>269014.94916941971</v>
      </c>
      <c r="E35" s="18">
        <f t="shared" si="7"/>
        <v>70305.25</v>
      </c>
      <c r="F35" s="115">
        <v>140610.5</v>
      </c>
      <c r="G35" s="123">
        <f t="shared" si="2"/>
        <v>-128404.44916941971</v>
      </c>
      <c r="H35" s="123">
        <f t="shared" si="9"/>
        <v>220550.5</v>
      </c>
      <c r="I35" s="116">
        <v>441101</v>
      </c>
      <c r="J35" s="123">
        <f t="shared" si="3"/>
        <v>172086.05083058029</v>
      </c>
      <c r="K35" s="130">
        <v>0.46207326647026414</v>
      </c>
      <c r="L35" s="101">
        <f>'# and Assessed Value of Parcels'!G30/'# and Assessed Value of Parcels'!O30</f>
        <v>0.93611412622111956</v>
      </c>
      <c r="M35" s="101">
        <f>'# and Assessed Value of Parcels'!H30/'# and Assessed Value of Parcels'!P30</f>
        <v>0.80900620679671975</v>
      </c>
      <c r="N35" s="101">
        <f t="shared" si="4"/>
        <v>0.87256016650891965</v>
      </c>
      <c r="O35" s="102">
        <f>'Tax Levies and EQ Tax Rates'!I30</f>
        <v>15473379.300000001</v>
      </c>
      <c r="P35" s="102">
        <f t="shared" si="5"/>
        <v>13501454.418463672</v>
      </c>
      <c r="Q35" s="103">
        <v>17107</v>
      </c>
      <c r="R35" s="119">
        <f t="shared" si="6"/>
        <v>789.2356589971165</v>
      </c>
    </row>
    <row r="36" spans="1:18" ht="15.75" customHeight="1" x14ac:dyDescent="0.25">
      <c r="A36" s="95" t="s">
        <v>70</v>
      </c>
      <c r="B36" s="96" t="s">
        <v>72</v>
      </c>
      <c r="C36" s="97">
        <f t="shared" si="0"/>
        <v>1911.6324667955307</v>
      </c>
      <c r="D36" s="99">
        <f t="shared" si="1"/>
        <v>195390.44858892696</v>
      </c>
      <c r="E36" s="18">
        <f t="shared" si="7"/>
        <v>111185.87083333333</v>
      </c>
      <c r="F36" s="115">
        <v>222371.74166666667</v>
      </c>
      <c r="G36" s="123">
        <f t="shared" si="2"/>
        <v>26981.293077739712</v>
      </c>
      <c r="H36" s="123">
        <f t="shared" si="9"/>
        <v>173989</v>
      </c>
      <c r="I36" s="116">
        <v>347978</v>
      </c>
      <c r="J36" s="123">
        <f t="shared" si="3"/>
        <v>152587.55141107304</v>
      </c>
      <c r="K36" s="130">
        <v>0.97836536053884959</v>
      </c>
      <c r="L36" s="101">
        <f>'# and Assessed Value of Parcels'!G31/'# and Assessed Value of Parcels'!O31</f>
        <v>0.97167216721672167</v>
      </c>
      <c r="M36" s="101">
        <f>'# and Assessed Value of Parcels'!H31/'# and Assessed Value of Parcels'!P31</f>
        <v>0.87191037944018179</v>
      </c>
      <c r="N36" s="101">
        <f t="shared" si="4"/>
        <v>0.92179127332845168</v>
      </c>
      <c r="O36" s="102">
        <f>'Tax Levies and EQ Tax Rates'!I31</f>
        <v>14371926.5</v>
      </c>
      <c r="P36" s="102">
        <f t="shared" si="5"/>
        <v>13247916.428617917</v>
      </c>
      <c r="Q36" s="103">
        <v>10915</v>
      </c>
      <c r="R36" s="119">
        <f t="shared" si="6"/>
        <v>1213.7348995527179</v>
      </c>
    </row>
    <row r="37" spans="1:18" ht="15.75" customHeight="1" x14ac:dyDescent="0.25">
      <c r="A37" s="95" t="s">
        <v>41</v>
      </c>
      <c r="B37" s="96" t="s">
        <v>73</v>
      </c>
      <c r="C37" s="97">
        <f t="shared" si="0"/>
        <v>1415.6180360090227</v>
      </c>
      <c r="D37" s="99">
        <f t="shared" si="1"/>
        <v>175175.41697292478</v>
      </c>
      <c r="E37" s="18">
        <f t="shared" si="7"/>
        <v>85674.365168539327</v>
      </c>
      <c r="F37" s="115">
        <v>171348.73033707865</v>
      </c>
      <c r="G37" s="123">
        <f t="shared" si="2"/>
        <v>-3826.6866358461266</v>
      </c>
      <c r="H37" s="123">
        <f t="shared" si="9"/>
        <v>174720.5</v>
      </c>
      <c r="I37" s="116">
        <v>349441</v>
      </c>
      <c r="J37" s="123">
        <f t="shared" si="3"/>
        <v>174265.58302707522</v>
      </c>
      <c r="K37" s="130">
        <v>0.80811455195669468</v>
      </c>
      <c r="L37" s="101">
        <f>'# and Assessed Value of Parcels'!G32/'# and Assessed Value of Parcels'!O32</f>
        <v>0.93861280892904597</v>
      </c>
      <c r="M37" s="101">
        <f>'# and Assessed Value of Parcels'!H32/'# and Assessed Value of Parcels'!P32</f>
        <v>0.81106844376357135</v>
      </c>
      <c r="N37" s="101">
        <f t="shared" si="4"/>
        <v>0.87484062634630866</v>
      </c>
      <c r="O37" s="102">
        <f>'Tax Levies and EQ Tax Rates'!I32</f>
        <v>13725969.970000001</v>
      </c>
      <c r="P37" s="102">
        <f t="shared" si="5"/>
        <v>12008036.165765423</v>
      </c>
      <c r="Q37" s="103">
        <v>13360</v>
      </c>
      <c r="R37" s="119">
        <f t="shared" si="6"/>
        <v>898.8051022279509</v>
      </c>
    </row>
    <row r="38" spans="1:18" ht="15.75" customHeight="1" x14ac:dyDescent="0.25">
      <c r="A38" s="95" t="s">
        <v>41</v>
      </c>
      <c r="B38" s="96" t="s">
        <v>42</v>
      </c>
      <c r="C38" s="97">
        <f t="shared" si="0"/>
        <v>1199.6618777182114</v>
      </c>
      <c r="D38" s="99">
        <f t="shared" si="1"/>
        <v>60772.427657452252</v>
      </c>
      <c r="E38" s="18">
        <f t="shared" si="7"/>
        <v>63852.06</v>
      </c>
      <c r="F38" s="115">
        <v>127704.12</v>
      </c>
      <c r="G38" s="123">
        <f t="shared" si="2"/>
        <v>66931.692342547743</v>
      </c>
      <c r="H38" s="123">
        <f t="shared" si="9"/>
        <v>129510</v>
      </c>
      <c r="I38" s="116">
        <v>259020</v>
      </c>
      <c r="J38" s="123">
        <f t="shared" si="3"/>
        <v>198247.57234254776</v>
      </c>
      <c r="K38" s="130">
        <v>1.9740232930634001</v>
      </c>
      <c r="L38" s="101">
        <f>'# and Assessed Value of Parcels'!G33/'# and Assessed Value of Parcels'!O33</f>
        <v>0.8215948144603471</v>
      </c>
      <c r="M38" s="101">
        <f>'# and Assessed Value of Parcels'!H33/'# and Assessed Value of Parcels'!P33</f>
        <v>0.65337602486817126</v>
      </c>
      <c r="N38" s="101">
        <f t="shared" si="4"/>
        <v>0.73748541966425918</v>
      </c>
      <c r="O38" s="102">
        <f>'Tax Levies and EQ Tax Rates'!I33</f>
        <v>164974488.69999999</v>
      </c>
      <c r="P38" s="102">
        <f t="shared" si="5"/>
        <v>121666280.03281608</v>
      </c>
      <c r="Q38" s="103">
        <v>159732</v>
      </c>
      <c r="R38" s="119">
        <f t="shared" si="6"/>
        <v>761.69008109092783</v>
      </c>
    </row>
    <row r="39" spans="1:18" ht="15.75" customHeight="1" x14ac:dyDescent="0.25">
      <c r="A39" s="95" t="s">
        <v>41</v>
      </c>
      <c r="B39" s="96" t="s">
        <v>43</v>
      </c>
      <c r="C39" s="97">
        <f t="shared" si="0"/>
        <v>1399.0576277779953</v>
      </c>
      <c r="D39" s="99">
        <f t="shared" si="1"/>
        <v>165600.43865117448</v>
      </c>
      <c r="E39" s="18">
        <f t="shared" si="7"/>
        <v>138989.00819672132</v>
      </c>
      <c r="F39" s="115">
        <v>277978.01639344264</v>
      </c>
      <c r="G39" s="123">
        <f t="shared" si="2"/>
        <v>112377.57774226816</v>
      </c>
      <c r="H39" s="123">
        <f t="shared" si="9"/>
        <v>148505</v>
      </c>
      <c r="I39" s="116">
        <v>297010</v>
      </c>
      <c r="J39" s="123">
        <f t="shared" si="3"/>
        <v>131409.56134882552</v>
      </c>
      <c r="K39" s="130">
        <v>0.84483932480698942</v>
      </c>
      <c r="L39" s="101">
        <f>'# and Assessed Value of Parcels'!G34/'# and Assessed Value of Parcels'!O34</f>
        <v>0.95521999479302266</v>
      </c>
      <c r="M39" s="101">
        <f>'# and Assessed Value of Parcels'!H34/'# and Assessed Value of Parcels'!P34</f>
        <v>0.87552226480698236</v>
      </c>
      <c r="N39" s="101">
        <f t="shared" si="4"/>
        <v>0.91537112980000246</v>
      </c>
      <c r="O39" s="102">
        <f>'Tax Levies and EQ Tax Rates'!I34</f>
        <v>10797816</v>
      </c>
      <c r="P39" s="102">
        <f t="shared" si="5"/>
        <v>9884009.0312925428</v>
      </c>
      <c r="Q39" s="103">
        <v>11127</v>
      </c>
      <c r="R39" s="119">
        <f t="shared" si="6"/>
        <v>888.29055731936216</v>
      </c>
    </row>
    <row r="40" spans="1:18" ht="15.75" customHeight="1" x14ac:dyDescent="0.25">
      <c r="A40" s="95" t="s">
        <v>41</v>
      </c>
      <c r="B40" s="96" t="s">
        <v>44</v>
      </c>
      <c r="C40" s="97">
        <f t="shared" si="0"/>
        <v>1581.3648998085366</v>
      </c>
      <c r="D40" s="99">
        <f t="shared" si="1"/>
        <v>266925.84883421776</v>
      </c>
      <c r="E40" s="18">
        <f t="shared" si="7"/>
        <v>76659.687179487184</v>
      </c>
      <c r="F40" s="115">
        <v>153319.37435897437</v>
      </c>
      <c r="G40" s="123">
        <f t="shared" si="2"/>
        <v>-113606.47447524339</v>
      </c>
      <c r="H40" s="123">
        <f t="shared" si="9"/>
        <v>238923</v>
      </c>
      <c r="I40" s="116">
        <v>477846</v>
      </c>
      <c r="J40" s="123">
        <f t="shared" si="3"/>
        <v>210920.15116578224</v>
      </c>
      <c r="K40" s="130">
        <v>0.59243602922498906</v>
      </c>
      <c r="L40" s="101">
        <f>'# and Assessed Value of Parcels'!G35/'# and Assessed Value of Parcels'!O35</f>
        <v>0.95973428121904314</v>
      </c>
      <c r="M40" s="101">
        <f>'# and Assessed Value of Parcels'!H35/'# and Assessed Value of Parcels'!P35</f>
        <v>0.74630979334649838</v>
      </c>
      <c r="N40" s="101">
        <f t="shared" si="4"/>
        <v>0.85302203728277082</v>
      </c>
      <c r="O40" s="102">
        <f>'Tax Levies and EQ Tax Rates'!I35</f>
        <v>64546529</v>
      </c>
      <c r="P40" s="102">
        <f t="shared" si="5"/>
        <v>55059611.667111449</v>
      </c>
      <c r="Q40" s="103">
        <v>54838</v>
      </c>
      <c r="R40" s="119">
        <f t="shared" si="6"/>
        <v>1004.0412062276423</v>
      </c>
    </row>
    <row r="41" spans="1:18" ht="15.75" customHeight="1" x14ac:dyDescent="0.25">
      <c r="A41" s="95" t="s">
        <v>41</v>
      </c>
      <c r="B41" s="96" t="s">
        <v>74</v>
      </c>
      <c r="C41" s="97">
        <f t="shared" si="0"/>
        <v>1472.7922720354959</v>
      </c>
      <c r="D41" s="99">
        <f t="shared" si="1"/>
        <v>190806.41844209246</v>
      </c>
      <c r="E41" s="18">
        <f t="shared" si="7"/>
        <v>148514</v>
      </c>
      <c r="F41" s="115">
        <v>297028</v>
      </c>
      <c r="G41" s="123">
        <f t="shared" si="2"/>
        <v>106221.58155790754</v>
      </c>
      <c r="H41" s="123">
        <f t="shared" si="9"/>
        <v>194040</v>
      </c>
      <c r="I41" s="116">
        <v>388080</v>
      </c>
      <c r="J41" s="123">
        <f t="shared" si="3"/>
        <v>197273.58155790754</v>
      </c>
      <c r="K41" s="130">
        <v>0.77187774083316352</v>
      </c>
      <c r="L41" s="101">
        <f>'# and Assessed Value of Parcels'!G36/'# and Assessed Value of Parcels'!O36</f>
        <v>0.93500511770726713</v>
      </c>
      <c r="M41" s="101">
        <f>'# and Assessed Value of Parcels'!H36/'# and Assessed Value of Parcels'!P36</f>
        <v>0.79393218764737428</v>
      </c>
      <c r="N41" s="101">
        <f t="shared" si="4"/>
        <v>0.86446865267732065</v>
      </c>
      <c r="O41" s="102">
        <f>'Tax Levies and EQ Tax Rates'!I36</f>
        <v>14585806</v>
      </c>
      <c r="P41" s="102">
        <f t="shared" si="5"/>
        <v>12608972.06103278</v>
      </c>
      <c r="Q41" s="103">
        <v>13484</v>
      </c>
      <c r="R41" s="119">
        <f t="shared" si="6"/>
        <v>935.10620446698158</v>
      </c>
    </row>
    <row r="42" spans="1:18" ht="15.75" customHeight="1" x14ac:dyDescent="0.25">
      <c r="A42" s="95" t="s">
        <v>45</v>
      </c>
      <c r="B42" s="96" t="s">
        <v>75</v>
      </c>
      <c r="C42" s="97">
        <f t="shared" si="0"/>
        <v>644.95051075236097</v>
      </c>
      <c r="D42" s="99">
        <f t="shared" si="1"/>
        <v>280857.37633155123</v>
      </c>
      <c r="E42" s="18">
        <f t="shared" si="7"/>
        <v>67999.25</v>
      </c>
      <c r="F42" s="115">
        <v>135998.5</v>
      </c>
      <c r="G42" s="123">
        <f t="shared" si="2"/>
        <v>-144858.87633155123</v>
      </c>
      <c r="H42" s="123">
        <f t="shared" si="9"/>
        <v>232949.5</v>
      </c>
      <c r="I42" s="116">
        <v>465899</v>
      </c>
      <c r="J42" s="123">
        <f t="shared" si="3"/>
        <v>185041.62366844877</v>
      </c>
      <c r="K42" s="130">
        <v>0.22963630835566837</v>
      </c>
      <c r="L42" s="101">
        <f>'# and Assessed Value of Parcels'!G37/'# and Assessed Value of Parcels'!O37</f>
        <v>0.96962008847254744</v>
      </c>
      <c r="M42" s="101">
        <f>'# and Assessed Value of Parcels'!H37/'# and Assessed Value of Parcels'!P37</f>
        <v>0.74155473878526956</v>
      </c>
      <c r="N42" s="101">
        <f t="shared" si="4"/>
        <v>0.85558741362890856</v>
      </c>
      <c r="O42" s="102">
        <f>'Tax Levies and EQ Tax Rates'!I37</f>
        <v>22005035.620000001</v>
      </c>
      <c r="P42" s="102">
        <f t="shared" si="5"/>
        <v>18827231.512927808</v>
      </c>
      <c r="Q42" s="103">
        <v>45977</v>
      </c>
      <c r="R42" s="119">
        <f t="shared" si="6"/>
        <v>409.49238777927678</v>
      </c>
    </row>
    <row r="43" spans="1:18" ht="15.75" customHeight="1" x14ac:dyDescent="0.25">
      <c r="A43" s="95" t="s">
        <v>45</v>
      </c>
      <c r="B43" s="96" t="s">
        <v>46</v>
      </c>
      <c r="C43" s="97">
        <f t="shared" si="0"/>
        <v>865.00861749842352</v>
      </c>
      <c r="D43" s="99">
        <f t="shared" si="1"/>
        <v>236288.80563259131</v>
      </c>
      <c r="E43" s="18">
        <f t="shared" si="7"/>
        <v>70817.25</v>
      </c>
      <c r="F43" s="115">
        <v>141634.5</v>
      </c>
      <c r="G43" s="123">
        <f t="shared" si="2"/>
        <v>-94654.305632591306</v>
      </c>
      <c r="H43" s="123">
        <f t="shared" si="9"/>
        <v>184742</v>
      </c>
      <c r="I43" s="116">
        <v>369484</v>
      </c>
      <c r="J43" s="123">
        <f t="shared" si="3"/>
        <v>133195.19436740869</v>
      </c>
      <c r="K43" s="130">
        <v>0.36608108250521071</v>
      </c>
      <c r="L43" s="101">
        <f>'# and Assessed Value of Parcels'!G38/'# and Assessed Value of Parcels'!O38</f>
        <v>0.966461229754909</v>
      </c>
      <c r="M43" s="101">
        <f>'# and Assessed Value of Parcels'!H38/'# and Assessed Value of Parcels'!P38</f>
        <v>0.74002784885113326</v>
      </c>
      <c r="N43" s="101">
        <f t="shared" si="4"/>
        <v>0.85324453930302113</v>
      </c>
      <c r="O43" s="102">
        <f>'Tax Levies and EQ Tax Rates'!I38</f>
        <v>44004169</v>
      </c>
      <c r="P43" s="102">
        <f t="shared" si="5"/>
        <v>37546316.905817285</v>
      </c>
      <c r="Q43" s="103">
        <v>68364</v>
      </c>
      <c r="R43" s="119">
        <f t="shared" si="6"/>
        <v>549.21182063391973</v>
      </c>
    </row>
    <row r="44" spans="1:18" ht="15.75" customHeight="1" x14ac:dyDescent="0.25">
      <c r="A44" s="95" t="s">
        <v>45</v>
      </c>
      <c r="B44" s="96" t="s">
        <v>47</v>
      </c>
      <c r="C44" s="97">
        <f t="shared" si="0"/>
        <v>1245.2654631723447</v>
      </c>
      <c r="D44" s="99">
        <f t="shared" si="1"/>
        <v>124633.89338694653</v>
      </c>
      <c r="E44" s="18">
        <f t="shared" si="7"/>
        <v>97261.466257668711</v>
      </c>
      <c r="F44" s="115">
        <v>194522.93251533742</v>
      </c>
      <c r="G44" s="123">
        <f t="shared" si="2"/>
        <v>69889.039128390898</v>
      </c>
      <c r="H44" s="123">
        <f t="shared" si="9"/>
        <v>126652</v>
      </c>
      <c r="I44" s="116">
        <v>253304</v>
      </c>
      <c r="J44" s="123">
        <f t="shared" si="3"/>
        <v>128670.10661305347</v>
      </c>
      <c r="K44" s="130">
        <v>0.99913870082370937</v>
      </c>
      <c r="L44" s="101">
        <f>'# and Assessed Value of Parcels'!G39/'# and Assessed Value of Parcels'!O39</f>
        <v>0.95111773472429206</v>
      </c>
      <c r="M44" s="101">
        <f>'# and Assessed Value of Parcels'!H39/'# and Assessed Value of Parcels'!P39</f>
        <v>0.86385134818830744</v>
      </c>
      <c r="N44" s="101">
        <f t="shared" si="4"/>
        <v>0.90748454145629975</v>
      </c>
      <c r="O44" s="102">
        <f>'Tax Levies and EQ Tax Rates'!I39</f>
        <v>9542787.1500000004</v>
      </c>
      <c r="P44" s="102">
        <f t="shared" si="5"/>
        <v>8659931.8210328203</v>
      </c>
      <c r="Q44" s="103">
        <v>10953</v>
      </c>
      <c r="R44" s="119">
        <f t="shared" si="6"/>
        <v>790.64473852212359</v>
      </c>
    </row>
    <row r="45" spans="1:18" ht="15.75" customHeight="1" x14ac:dyDescent="0.25">
      <c r="A45" s="95" t="s">
        <v>48</v>
      </c>
      <c r="B45" s="96" t="s">
        <v>49</v>
      </c>
      <c r="C45" s="97">
        <f t="shared" si="0"/>
        <v>1620.9564565432868</v>
      </c>
      <c r="D45" s="99">
        <f t="shared" si="1"/>
        <v>174941.34925907786</v>
      </c>
      <c r="E45" s="18">
        <f t="shared" si="7"/>
        <v>104337.86</v>
      </c>
      <c r="F45" s="115">
        <v>208675.72</v>
      </c>
      <c r="G45" s="123">
        <f t="shared" si="2"/>
        <v>33734.370740922139</v>
      </c>
      <c r="H45" s="123">
        <f t="shared" si="9"/>
        <v>163337</v>
      </c>
      <c r="I45" s="116">
        <v>326674</v>
      </c>
      <c r="J45" s="123">
        <f t="shared" si="3"/>
        <v>151732.65074092214</v>
      </c>
      <c r="K45" s="130">
        <v>0.92657137000969703</v>
      </c>
      <c r="L45" s="101">
        <f>'# and Assessed Value of Parcels'!G40/'# and Assessed Value of Parcels'!O40</f>
        <v>0.90298507462686572</v>
      </c>
      <c r="M45" s="101">
        <f>'# and Assessed Value of Parcels'!H40/'# and Assessed Value of Parcels'!P40</f>
        <v>0.53546516271707922</v>
      </c>
      <c r="N45" s="101">
        <f t="shared" si="4"/>
        <v>0.71922511867197247</v>
      </c>
      <c r="O45" s="102">
        <f>'Tax Levies and EQ Tax Rates'!I40</f>
        <v>62587105.100000001</v>
      </c>
      <c r="P45" s="102">
        <f t="shared" si="5"/>
        <v>45014218.092882715</v>
      </c>
      <c r="Q45" s="103">
        <v>43738</v>
      </c>
      <c r="R45" s="119">
        <f t="shared" si="6"/>
        <v>1029.1787025671663</v>
      </c>
    </row>
    <row r="46" spans="1:18" ht="15.75" customHeight="1" x14ac:dyDescent="0.25">
      <c r="A46" s="95" t="s">
        <v>48</v>
      </c>
      <c r="B46" s="96" t="s">
        <v>50</v>
      </c>
      <c r="C46" s="97">
        <f t="shared" si="0"/>
        <v>1743.2195065270014</v>
      </c>
      <c r="D46" s="99">
        <f t="shared" si="1"/>
        <v>130682.39172723472</v>
      </c>
      <c r="E46" s="18">
        <f t="shared" si="7"/>
        <v>132152.2794117647</v>
      </c>
      <c r="F46" s="115">
        <v>264304.5588235294</v>
      </c>
      <c r="G46" s="123">
        <f t="shared" si="2"/>
        <v>133622.1670962947</v>
      </c>
      <c r="H46" s="123">
        <f t="shared" si="9"/>
        <v>135807.5</v>
      </c>
      <c r="I46" s="116">
        <v>271615</v>
      </c>
      <c r="J46" s="123">
        <f t="shared" si="3"/>
        <v>140932.6082727653</v>
      </c>
      <c r="K46" s="130">
        <v>1.3339360287845938</v>
      </c>
      <c r="L46" s="101">
        <f>'# and Assessed Value of Parcels'!G41/'# and Assessed Value of Parcels'!O41</f>
        <v>0.94367816091954027</v>
      </c>
      <c r="M46" s="101">
        <f>'# and Assessed Value of Parcels'!H41/'# and Assessed Value of Parcels'!P41</f>
        <v>0.73460247640646714</v>
      </c>
      <c r="N46" s="101">
        <f t="shared" si="4"/>
        <v>0.83914031866300376</v>
      </c>
      <c r="O46" s="102">
        <f>'Tax Levies and EQ Tax Rates'!I41</f>
        <v>38983658</v>
      </c>
      <c r="P46" s="102">
        <f t="shared" si="5"/>
        <v>32712759.196769554</v>
      </c>
      <c r="Q46" s="103">
        <v>29556</v>
      </c>
      <c r="R46" s="119">
        <f t="shared" si="6"/>
        <v>1106.8060358901596</v>
      </c>
    </row>
    <row r="47" spans="1:18" ht="15.75" customHeight="1" x14ac:dyDescent="0.25">
      <c r="A47" s="105" t="s">
        <v>76</v>
      </c>
      <c r="B47" s="106" t="s">
        <v>77</v>
      </c>
      <c r="C47" s="107">
        <f t="shared" si="0"/>
        <v>710.1746095884248</v>
      </c>
      <c r="D47" s="109">
        <f t="shared" si="1"/>
        <v>247514.70415934559</v>
      </c>
      <c r="E47" s="18">
        <f t="shared" si="7"/>
        <v>57089.602272727272</v>
      </c>
      <c r="F47" s="147">
        <v>114179.20454545454</v>
      </c>
      <c r="G47" s="124">
        <f t="shared" si="2"/>
        <v>-133335.49961389106</v>
      </c>
      <c r="H47" s="123">
        <f t="shared" si="9"/>
        <v>120092.5</v>
      </c>
      <c r="I47" s="116">
        <v>240185</v>
      </c>
      <c r="J47" s="124">
        <f t="shared" si="3"/>
        <v>-7329.7041593455942</v>
      </c>
      <c r="K47" s="132">
        <v>0.28692218993633078</v>
      </c>
      <c r="L47" s="111">
        <f>'# and Assessed Value of Parcels'!G42/'# and Assessed Value of Parcels'!O42</f>
        <v>0.95134061569016881</v>
      </c>
      <c r="M47" s="111">
        <f>'# and Assessed Value of Parcels'!H42/'# and Assessed Value of Parcels'!P42</f>
        <v>0.44542234351045923</v>
      </c>
      <c r="N47" s="111">
        <f t="shared" si="4"/>
        <v>0.69838147960031405</v>
      </c>
      <c r="O47" s="112">
        <f>'Tax Levies and EQ Tax Rates'!I42</f>
        <v>1616042.28</v>
      </c>
      <c r="P47" s="112">
        <f t="shared" si="5"/>
        <v>1128613.998603065</v>
      </c>
      <c r="Q47" s="113">
        <v>2503</v>
      </c>
      <c r="R47" s="122">
        <f t="shared" si="6"/>
        <v>450.90451402439675</v>
      </c>
    </row>
    <row r="48" spans="1:18" ht="15.75" customHeight="1" x14ac:dyDescent="0.25">
      <c r="C48" s="116">
        <f>AVERAGE(C10:C47)</f>
        <v>1268.2237885084407</v>
      </c>
      <c r="D48" s="116">
        <f t="shared" ref="D48:R48" si="10">AVERAGE(D10:D47)</f>
        <v>205578.12098147909</v>
      </c>
      <c r="E48" s="116">
        <f t="shared" si="10"/>
        <v>124266.76565838463</v>
      </c>
      <c r="F48" s="152">
        <f t="shared" si="10"/>
        <v>248533.53131676925</v>
      </c>
      <c r="G48" s="116">
        <f t="shared" si="10"/>
        <v>42955.410335290151</v>
      </c>
      <c r="H48" s="116">
        <f t="shared" si="10"/>
        <v>172507.67688949048</v>
      </c>
      <c r="I48" s="116">
        <f t="shared" si="10"/>
        <v>345015.35377898096</v>
      </c>
      <c r="J48" s="116">
        <f t="shared" si="10"/>
        <v>139437.23279750196</v>
      </c>
      <c r="K48" s="146">
        <f t="shared" si="10"/>
        <v>0.77531690390378416</v>
      </c>
      <c r="L48" s="149">
        <f t="shared" si="10"/>
        <v>0.94289015605878534</v>
      </c>
      <c r="M48" s="149">
        <f t="shared" si="10"/>
        <v>0.80603558289215715</v>
      </c>
      <c r="N48" s="149">
        <f t="shared" si="10"/>
        <v>0.87446286947547125</v>
      </c>
      <c r="O48" s="150">
        <f t="shared" si="10"/>
        <v>31129966.096578944</v>
      </c>
      <c r="P48" s="116">
        <f t="shared" si="10"/>
        <v>25171474.147470411</v>
      </c>
      <c r="Q48" s="153">
        <f t="shared" si="10"/>
        <v>35254.131578947367</v>
      </c>
      <c r="R48" s="116">
        <f t="shared" si="10"/>
        <v>805.22145302123226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A8:B8"/>
    <mergeCell ref="C8:D8"/>
    <mergeCell ref="F8:J8"/>
    <mergeCell ref="K8:R8"/>
  </mergeCells>
  <pageMargins left="0.7" right="0.7" top="0.75" bottom="0.75" header="0" footer="0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DECB-0FB3-4E94-86B4-13F59A1E1452}">
  <dimension ref="A1:AB1000"/>
  <sheetViews>
    <sheetView workbookViewId="0">
      <selection activeCell="E8" sqref="E8:J8"/>
    </sheetView>
  </sheetViews>
  <sheetFormatPr defaultColWidth="14.42578125" defaultRowHeight="15" x14ac:dyDescent="0.25"/>
  <cols>
    <col min="1" max="2" width="20.85546875" customWidth="1"/>
    <col min="3" max="16" width="15.85546875" customWidth="1"/>
    <col min="17" max="28" width="11.42578125" customWidth="1"/>
  </cols>
  <sheetData>
    <row r="1" spans="1:28" x14ac:dyDescent="0.25">
      <c r="A1" s="154" t="s">
        <v>198</v>
      </c>
    </row>
    <row r="3" spans="1:28" x14ac:dyDescent="0.25">
      <c r="A3" s="219" t="s">
        <v>93</v>
      </c>
      <c r="B3" s="209"/>
    </row>
    <row r="4" spans="1:28" x14ac:dyDescent="0.25">
      <c r="A4" s="2" t="s">
        <v>0</v>
      </c>
      <c r="B4" s="3" t="s">
        <v>1</v>
      </c>
    </row>
    <row r="5" spans="1:28" x14ac:dyDescent="0.25">
      <c r="A5" s="4" t="s">
        <v>2</v>
      </c>
      <c r="B5" s="5">
        <v>1.329</v>
      </c>
    </row>
    <row r="6" spans="1:28" ht="15.75" thickBot="1" x14ac:dyDescent="0.3">
      <c r="A6" s="6" t="s">
        <v>3</v>
      </c>
      <c r="B6" s="7">
        <v>2.5000000000000001E-2</v>
      </c>
    </row>
    <row r="7" spans="1:28" ht="15.75" thickBot="1" x14ac:dyDescent="0.3">
      <c r="A7" s="8"/>
      <c r="B7" s="8"/>
    </row>
    <row r="8" spans="1:28" ht="31.5" customHeight="1" x14ac:dyDescent="0.25">
      <c r="A8" s="220" t="s">
        <v>4</v>
      </c>
      <c r="B8" s="209"/>
      <c r="C8" s="222" t="s">
        <v>96</v>
      </c>
      <c r="D8" s="209"/>
      <c r="E8" s="220" t="s">
        <v>6</v>
      </c>
      <c r="F8" s="223"/>
      <c r="G8" s="223"/>
      <c r="H8" s="223"/>
      <c r="I8" s="223"/>
      <c r="J8" s="224"/>
      <c r="K8" s="220" t="s">
        <v>52</v>
      </c>
      <c r="L8" s="221"/>
      <c r="M8" s="221"/>
      <c r="N8" s="221"/>
      <c r="O8" s="221"/>
      <c r="P8" s="221"/>
      <c r="Q8" s="221"/>
      <c r="R8" s="209"/>
    </row>
    <row r="9" spans="1:28" ht="64.5" customHeight="1" thickBot="1" x14ac:dyDescent="0.3">
      <c r="A9" s="93" t="s">
        <v>8</v>
      </c>
      <c r="B9" s="10" t="s">
        <v>9</v>
      </c>
      <c r="C9" s="11" t="s">
        <v>10</v>
      </c>
      <c r="D9" s="16" t="s">
        <v>13</v>
      </c>
      <c r="E9" s="13" t="s">
        <v>202</v>
      </c>
      <c r="F9" s="13" t="s">
        <v>191</v>
      </c>
      <c r="G9" s="94" t="s">
        <v>192</v>
      </c>
      <c r="H9" s="14" t="s">
        <v>201</v>
      </c>
      <c r="I9" s="14" t="s">
        <v>193</v>
      </c>
      <c r="J9" s="15" t="s">
        <v>194</v>
      </c>
      <c r="K9" s="11" t="s">
        <v>53</v>
      </c>
      <c r="L9" s="12" t="s">
        <v>15</v>
      </c>
      <c r="M9" s="12" t="s">
        <v>16</v>
      </c>
      <c r="N9" s="12" t="s">
        <v>17</v>
      </c>
      <c r="O9" s="12" t="s">
        <v>18</v>
      </c>
      <c r="P9" s="12" t="s">
        <v>19</v>
      </c>
      <c r="Q9" s="14" t="s">
        <v>20</v>
      </c>
      <c r="R9" s="16" t="s">
        <v>21</v>
      </c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.75" x14ac:dyDescent="0.25">
      <c r="A10" s="95" t="s">
        <v>25</v>
      </c>
      <c r="B10" s="96" t="s">
        <v>26</v>
      </c>
      <c r="C10" s="97">
        <f t="shared" ref="C10:C47" si="0">$B$5*R10</f>
        <v>1267.6175281569701</v>
      </c>
      <c r="D10" s="99">
        <f t="shared" ref="D10:D47" si="1">C10/(K10/100)</f>
        <v>41372.147190343072</v>
      </c>
      <c r="E10" s="18">
        <f>0.5*F10</f>
        <v>30117.5</v>
      </c>
      <c r="F10" s="115">
        <v>60235</v>
      </c>
      <c r="G10" s="123">
        <f t="shared" ref="G10:G47" si="2">F10-D10</f>
        <v>18862.852809656928</v>
      </c>
      <c r="H10" s="123">
        <f>0.5*I10</f>
        <v>49181.5</v>
      </c>
      <c r="I10" s="116">
        <v>98363</v>
      </c>
      <c r="J10" s="123">
        <f t="shared" ref="J10:J47" si="3">I10-D10</f>
        <v>56990.852809656928</v>
      </c>
      <c r="K10" s="130">
        <v>3.0639394236053876</v>
      </c>
      <c r="L10" s="101">
        <f>'# and Assessed Value of Parcels'!G5/'# and Assessed Value of Parcels'!O5</f>
        <v>0.92172812725958064</v>
      </c>
      <c r="M10" s="101">
        <f>'# and Assessed Value of Parcels'!H5/'# and Assessed Value of Parcels'!P5</f>
        <v>0.73101366343961027</v>
      </c>
      <c r="N10" s="101">
        <f t="shared" ref="N10:N47" si="4">(L10+M10)/2</f>
        <v>0.8263708953495954</v>
      </c>
      <c r="O10" s="102">
        <f>'Tax Levies and EQ Tax Rates'!I5</f>
        <v>23810385</v>
      </c>
      <c r="P10" s="102">
        <f t="shared" ref="P10:P47" si="5">N10*O10</f>
        <v>19676209.171068575</v>
      </c>
      <c r="Q10" s="103">
        <v>20629</v>
      </c>
      <c r="R10" s="118">
        <f t="shared" ref="R10:R47" si="6">P10/Q10</f>
        <v>953.81303849282926</v>
      </c>
    </row>
    <row r="11" spans="1:28" ht="15.75" x14ac:dyDescent="0.25">
      <c r="A11" s="95" t="s">
        <v>27</v>
      </c>
      <c r="B11" s="96" t="s">
        <v>54</v>
      </c>
      <c r="C11" s="97">
        <f t="shared" si="0"/>
        <v>1257.922313465245</v>
      </c>
      <c r="D11" s="99">
        <f t="shared" si="1"/>
        <v>234599.39205540766</v>
      </c>
      <c r="E11" s="18">
        <f t="shared" ref="E11:E47" si="7">0.5*F11</f>
        <v>110944</v>
      </c>
      <c r="F11" s="115">
        <v>221888</v>
      </c>
      <c r="G11" s="123">
        <f t="shared" si="2"/>
        <v>-12711.392055407661</v>
      </c>
      <c r="H11" s="123">
        <f t="shared" ref="H11:H26" si="8">0.5*I11</f>
        <v>262105</v>
      </c>
      <c r="I11" s="116">
        <v>524210</v>
      </c>
      <c r="J11" s="123">
        <f t="shared" si="3"/>
        <v>289610.60794459237</v>
      </c>
      <c r="K11" s="130">
        <v>0.53620015910704022</v>
      </c>
      <c r="L11" s="101">
        <f>'# and Assessed Value of Parcels'!G6/'# and Assessed Value of Parcels'!O6</f>
        <v>0.96785505552308593</v>
      </c>
      <c r="M11" s="101">
        <f>'# and Assessed Value of Parcels'!H6/'# and Assessed Value of Parcels'!P6</f>
        <v>0.93507137588122136</v>
      </c>
      <c r="N11" s="101">
        <f t="shared" si="4"/>
        <v>0.95146321570215364</v>
      </c>
      <c r="O11" s="102">
        <f>'Tax Levies and EQ Tax Rates'!I6</f>
        <v>10090281.039999999</v>
      </c>
      <c r="P11" s="102">
        <f t="shared" si="5"/>
        <v>9600531.2456568703</v>
      </c>
      <c r="Q11" s="103">
        <v>10143</v>
      </c>
      <c r="R11" s="119">
        <f t="shared" si="6"/>
        <v>946.51791833351774</v>
      </c>
    </row>
    <row r="12" spans="1:28" ht="15.75" x14ac:dyDescent="0.25">
      <c r="A12" s="95" t="s">
        <v>27</v>
      </c>
      <c r="B12" s="96" t="s">
        <v>28</v>
      </c>
      <c r="C12" s="97">
        <f t="shared" si="0"/>
        <v>1304.552639696901</v>
      </c>
      <c r="D12" s="99">
        <f t="shared" si="1"/>
        <v>156313.37480365727</v>
      </c>
      <c r="E12" s="18">
        <f t="shared" si="7"/>
        <v>186862</v>
      </c>
      <c r="F12" s="115">
        <v>373724</v>
      </c>
      <c r="G12" s="123">
        <f t="shared" si="2"/>
        <v>217410.62519634273</v>
      </c>
      <c r="H12" s="123">
        <f t="shared" si="8"/>
        <v>213444</v>
      </c>
      <c r="I12" s="116">
        <v>426888</v>
      </c>
      <c r="J12" s="123">
        <f t="shared" si="3"/>
        <v>270574.62519634271</v>
      </c>
      <c r="K12" s="130">
        <v>0.8345751867589889</v>
      </c>
      <c r="L12" s="101">
        <f>'# and Assessed Value of Parcels'!G7/'# and Assessed Value of Parcels'!O7</f>
        <v>0.98144233027953953</v>
      </c>
      <c r="M12" s="101">
        <f>'# and Assessed Value of Parcels'!H7/'# and Assessed Value of Parcels'!P7</f>
        <v>0.94433258765869066</v>
      </c>
      <c r="N12" s="101">
        <f t="shared" si="4"/>
        <v>0.9628874589691151</v>
      </c>
      <c r="O12" s="102">
        <f>'Tax Levies and EQ Tax Rates'!I7</f>
        <v>17251960.34</v>
      </c>
      <c r="P12" s="102">
        <f t="shared" si="5"/>
        <v>16611696.254018551</v>
      </c>
      <c r="Q12" s="103">
        <v>16923</v>
      </c>
      <c r="R12" s="119">
        <f t="shared" si="6"/>
        <v>981.60469503152819</v>
      </c>
    </row>
    <row r="13" spans="1:28" ht="15.75" x14ac:dyDescent="0.25">
      <c r="A13" s="95" t="s">
        <v>27</v>
      </c>
      <c r="B13" s="96" t="s">
        <v>55</v>
      </c>
      <c r="C13" s="97">
        <f t="shared" si="0"/>
        <v>1486.1331880885468</v>
      </c>
      <c r="D13" s="99">
        <f t="shared" si="1"/>
        <v>246345.68158259324</v>
      </c>
      <c r="E13" s="18">
        <f t="shared" si="7"/>
        <v>183086.5</v>
      </c>
      <c r="F13" s="115">
        <v>366173</v>
      </c>
      <c r="G13" s="123">
        <f t="shared" si="2"/>
        <v>119827.31841740676</v>
      </c>
      <c r="H13" s="123">
        <f t="shared" si="8"/>
        <v>249394.5</v>
      </c>
      <c r="I13" s="116">
        <v>498789</v>
      </c>
      <c r="J13" s="123">
        <f t="shared" si="3"/>
        <v>252443.31841740676</v>
      </c>
      <c r="K13" s="130">
        <v>0.60327145925238612</v>
      </c>
      <c r="L13" s="101">
        <f>'# and Assessed Value of Parcels'!G8/'# and Assessed Value of Parcels'!O8</f>
        <v>0.95667319834530806</v>
      </c>
      <c r="M13" s="101">
        <f>'# and Assessed Value of Parcels'!H8/'# and Assessed Value of Parcels'!P8</f>
        <v>0.84635298341916665</v>
      </c>
      <c r="N13" s="101">
        <f t="shared" si="4"/>
        <v>0.9015130908822373</v>
      </c>
      <c r="O13" s="102">
        <f>'Tax Levies and EQ Tax Rates'!I8</f>
        <v>15812581.220000001</v>
      </c>
      <c r="P13" s="102">
        <f t="shared" si="5"/>
        <v>14255248.97046862</v>
      </c>
      <c r="Q13" s="103">
        <v>12748</v>
      </c>
      <c r="R13" s="119">
        <f t="shared" si="6"/>
        <v>1118.2341520606071</v>
      </c>
    </row>
    <row r="14" spans="1:28" ht="15.75" x14ac:dyDescent="0.25">
      <c r="A14" s="95" t="s">
        <v>27</v>
      </c>
      <c r="B14" s="96" t="s">
        <v>56</v>
      </c>
      <c r="C14" s="97">
        <f t="shared" si="0"/>
        <v>1547.6205656499974</v>
      </c>
      <c r="D14" s="99">
        <f t="shared" si="1"/>
        <v>210949.17420800269</v>
      </c>
      <c r="E14" s="18">
        <f t="shared" si="7"/>
        <v>234327.5</v>
      </c>
      <c r="F14" s="115">
        <v>468655</v>
      </c>
      <c r="G14" s="123">
        <f t="shared" si="2"/>
        <v>257705.82579199731</v>
      </c>
      <c r="H14" s="123">
        <f t="shared" si="8"/>
        <v>229733.5</v>
      </c>
      <c r="I14" s="116">
        <v>459467</v>
      </c>
      <c r="J14" s="123">
        <f t="shared" si="3"/>
        <v>248517.82579199731</v>
      </c>
      <c r="K14" s="130">
        <v>0.73364618347545341</v>
      </c>
      <c r="L14" s="101">
        <f>'# and Assessed Value of Parcels'!G9/'# and Assessed Value of Parcels'!O9</f>
        <v>0.91940211019929663</v>
      </c>
      <c r="M14" s="101">
        <f>'# and Assessed Value of Parcels'!H9/'# and Assessed Value of Parcels'!P9</f>
        <v>0.75552222177542272</v>
      </c>
      <c r="N14" s="101">
        <f t="shared" si="4"/>
        <v>0.83746216598735967</v>
      </c>
      <c r="O14" s="102">
        <f>'Tax Levies and EQ Tax Rates'!I9</f>
        <v>15687741</v>
      </c>
      <c r="P14" s="102">
        <f t="shared" si="5"/>
        <v>13137889.557308707</v>
      </c>
      <c r="Q14" s="103">
        <v>11282</v>
      </c>
      <c r="R14" s="119">
        <f t="shared" si="6"/>
        <v>1164.5000493980417</v>
      </c>
    </row>
    <row r="15" spans="1:28" ht="15.75" x14ac:dyDescent="0.25">
      <c r="A15" s="95" t="s">
        <v>57</v>
      </c>
      <c r="B15" s="96" t="s">
        <v>58</v>
      </c>
      <c r="C15" s="97">
        <f t="shared" si="0"/>
        <v>519.44746768387427</v>
      </c>
      <c r="D15" s="99">
        <f t="shared" si="1"/>
        <v>133135.78322404868</v>
      </c>
      <c r="E15" s="18">
        <f t="shared" si="7"/>
        <v>233196.0824213406</v>
      </c>
      <c r="F15" s="115">
        <v>466392.1648426812</v>
      </c>
      <c r="G15" s="123">
        <f t="shared" si="2"/>
        <v>333256.38161863253</v>
      </c>
      <c r="H15" s="123">
        <f t="shared" si="8"/>
        <v>153418</v>
      </c>
      <c r="I15" s="116">
        <v>306836</v>
      </c>
      <c r="J15" s="123">
        <f t="shared" si="3"/>
        <v>173700.21677595132</v>
      </c>
      <c r="K15" s="130">
        <v>0.39016367734113805</v>
      </c>
      <c r="L15" s="101">
        <f>'# and Assessed Value of Parcels'!G10/'# and Assessed Value of Parcels'!O10</f>
        <v>0.96040113139624583</v>
      </c>
      <c r="M15" s="101">
        <f>'# and Assessed Value of Parcels'!H10/'# and Assessed Value of Parcels'!P10</f>
        <v>0.85301721781778006</v>
      </c>
      <c r="N15" s="101">
        <f t="shared" si="4"/>
        <v>0.90670917460701295</v>
      </c>
      <c r="O15" s="102">
        <f>'Tax Levies and EQ Tax Rates'!I10</f>
        <v>5518999.9199999999</v>
      </c>
      <c r="P15" s="102">
        <f t="shared" si="5"/>
        <v>5004127.8621193701</v>
      </c>
      <c r="Q15" s="103">
        <v>12803</v>
      </c>
      <c r="R15" s="119">
        <f t="shared" si="6"/>
        <v>390.85588238064281</v>
      </c>
    </row>
    <row r="16" spans="1:28" ht="15.75" x14ac:dyDescent="0.25">
      <c r="A16" s="95" t="s">
        <v>57</v>
      </c>
      <c r="B16" s="96" t="s">
        <v>59</v>
      </c>
      <c r="C16" s="97">
        <f t="shared" si="0"/>
        <v>664.93392927052423</v>
      </c>
      <c r="D16" s="99">
        <f t="shared" si="1"/>
        <v>176111.80809953526</v>
      </c>
      <c r="E16" s="18">
        <f t="shared" si="7"/>
        <v>54674.666666666664</v>
      </c>
      <c r="F16" s="115">
        <v>109349.33333333333</v>
      </c>
      <c r="G16" s="123">
        <f t="shared" si="2"/>
        <v>-66762.474766201936</v>
      </c>
      <c r="H16" s="123">
        <f t="shared" si="8"/>
        <v>185392</v>
      </c>
      <c r="I16" s="116">
        <v>370784</v>
      </c>
      <c r="J16" s="123">
        <f t="shared" si="3"/>
        <v>194672.19190046474</v>
      </c>
      <c r="K16" s="130">
        <v>0.37756351288762841</v>
      </c>
      <c r="L16" s="101">
        <f>'# and Assessed Value of Parcels'!G11/'# and Assessed Value of Parcels'!O11</f>
        <v>0.9585129938235637</v>
      </c>
      <c r="M16" s="101">
        <f>'# and Assessed Value of Parcels'!H11/'# and Assessed Value of Parcels'!P11</f>
        <v>0.91282274937277808</v>
      </c>
      <c r="N16" s="101">
        <f t="shared" si="4"/>
        <v>0.93566787159817089</v>
      </c>
      <c r="O16" s="102">
        <f>'Tax Levies and EQ Tax Rates'!I11</f>
        <v>13099197.74</v>
      </c>
      <c r="P16" s="102">
        <f t="shared" si="5"/>
        <v>12256498.469029371</v>
      </c>
      <c r="Q16" s="103">
        <v>24497</v>
      </c>
      <c r="R16" s="119">
        <f t="shared" si="6"/>
        <v>500.32650810423195</v>
      </c>
    </row>
    <row r="17" spans="1:18" ht="15.75" x14ac:dyDescent="0.25">
      <c r="A17" s="95" t="s">
        <v>57</v>
      </c>
      <c r="B17" s="96" t="s">
        <v>60</v>
      </c>
      <c r="C17" s="97">
        <f t="shared" si="0"/>
        <v>722.84529306068339</v>
      </c>
      <c r="D17" s="99">
        <f t="shared" si="1"/>
        <v>71299.652749631481</v>
      </c>
      <c r="E17" s="18">
        <f t="shared" si="7"/>
        <v>46953.375</v>
      </c>
      <c r="F17" s="115">
        <v>93906.75</v>
      </c>
      <c r="G17" s="123">
        <f t="shared" si="2"/>
        <v>22607.097250368519</v>
      </c>
      <c r="H17" s="123">
        <f t="shared" si="8"/>
        <v>83156</v>
      </c>
      <c r="I17" s="116">
        <v>166312</v>
      </c>
      <c r="J17" s="123">
        <f t="shared" si="3"/>
        <v>95012.347250368519</v>
      </c>
      <c r="K17" s="130">
        <v>1.0138132027079465</v>
      </c>
      <c r="L17" s="101">
        <f>'# and Assessed Value of Parcels'!G12/'# and Assessed Value of Parcels'!O12</f>
        <v>0.9812830932151213</v>
      </c>
      <c r="M17" s="101">
        <f>'# and Assessed Value of Parcels'!H12/'# and Assessed Value of Parcels'!P12</f>
        <v>0.9332896028243699</v>
      </c>
      <c r="N17" s="101">
        <f t="shared" si="4"/>
        <v>0.95728634801974555</v>
      </c>
      <c r="O17" s="102">
        <f>'Tax Levies and EQ Tax Rates'!I12</f>
        <v>15285484.98</v>
      </c>
      <c r="P17" s="102">
        <f t="shared" si="5"/>
        <v>14632586.094214873</v>
      </c>
      <c r="Q17" s="103">
        <v>26903</v>
      </c>
      <c r="R17" s="119">
        <f t="shared" si="6"/>
        <v>543.90165015852779</v>
      </c>
    </row>
    <row r="18" spans="1:18" ht="15.75" x14ac:dyDescent="0.25">
      <c r="A18" s="95" t="s">
        <v>57</v>
      </c>
      <c r="B18" s="96" t="s">
        <v>61</v>
      </c>
      <c r="C18" s="97">
        <f t="shared" si="0"/>
        <v>511.89356568682462</v>
      </c>
      <c r="D18" s="99">
        <f t="shared" si="1"/>
        <v>150886.42360957974</v>
      </c>
      <c r="E18" s="18">
        <f t="shared" si="7"/>
        <v>65732.524999999994</v>
      </c>
      <c r="F18" s="115">
        <v>131465.04999999999</v>
      </c>
      <c r="G18" s="123">
        <f t="shared" si="2"/>
        <v>-19421.37360957975</v>
      </c>
      <c r="H18" s="123">
        <f t="shared" si="8"/>
        <v>119267</v>
      </c>
      <c r="I18" s="116">
        <v>238534</v>
      </c>
      <c r="J18" s="123">
        <f t="shared" si="3"/>
        <v>87647.576390420261</v>
      </c>
      <c r="K18" s="130">
        <v>0.33925753784936591</v>
      </c>
      <c r="L18" s="101">
        <f>'# and Assessed Value of Parcels'!G13/'# and Assessed Value of Parcels'!O13</f>
        <v>0.96051204165762638</v>
      </c>
      <c r="M18" s="101">
        <f>'# and Assessed Value of Parcels'!H13/'# and Assessed Value of Parcels'!P13</f>
        <v>0.90183161244513477</v>
      </c>
      <c r="N18" s="101">
        <f t="shared" si="4"/>
        <v>0.93117182705138057</v>
      </c>
      <c r="O18" s="102">
        <f>'Tax Levies and EQ Tax Rates'!I13</f>
        <v>4267546.8</v>
      </c>
      <c r="P18" s="102">
        <f t="shared" si="5"/>
        <v>3973819.3507832726</v>
      </c>
      <c r="Q18" s="103">
        <v>10317</v>
      </c>
      <c r="R18" s="119">
        <f t="shared" si="6"/>
        <v>385.17198321055275</v>
      </c>
    </row>
    <row r="19" spans="1:18" ht="15.75" x14ac:dyDescent="0.25">
      <c r="A19" s="95" t="s">
        <v>62</v>
      </c>
      <c r="B19" s="96" t="s">
        <v>63</v>
      </c>
      <c r="C19" s="97">
        <f t="shared" si="0"/>
        <v>453.76125069293704</v>
      </c>
      <c r="D19" s="99">
        <f t="shared" si="1"/>
        <v>119215.26322649511</v>
      </c>
      <c r="E19" s="18">
        <f t="shared" si="7"/>
        <v>49310.17105263158</v>
      </c>
      <c r="F19" s="115">
        <v>98620.34210526316</v>
      </c>
      <c r="G19" s="123">
        <f t="shared" si="2"/>
        <v>-20594.92112123195</v>
      </c>
      <c r="H19" s="123">
        <f t="shared" si="8"/>
        <v>59244.5</v>
      </c>
      <c r="I19" s="116">
        <v>118489</v>
      </c>
      <c r="J19" s="123">
        <f t="shared" si="3"/>
        <v>-726.26322649510985</v>
      </c>
      <c r="K19" s="130">
        <v>0.38062345241048834</v>
      </c>
      <c r="L19" s="101">
        <f>'# and Assessed Value of Parcels'!G14/'# and Assessed Value of Parcels'!O14</f>
        <v>0.94935451837140017</v>
      </c>
      <c r="M19" s="101">
        <f>'# and Assessed Value of Parcels'!H14/'# and Assessed Value of Parcels'!P14</f>
        <v>0.95309491622629139</v>
      </c>
      <c r="N19" s="101">
        <f t="shared" si="4"/>
        <v>0.95122471729884572</v>
      </c>
      <c r="O19" s="102">
        <f>'Tax Levies and EQ Tax Rates'!I14</f>
        <v>502154.1</v>
      </c>
      <c r="P19" s="102">
        <f t="shared" si="5"/>
        <v>477661.39181295631</v>
      </c>
      <c r="Q19" s="103">
        <v>1399</v>
      </c>
      <c r="R19" s="119">
        <f t="shared" si="6"/>
        <v>341.43058742884654</v>
      </c>
    </row>
    <row r="20" spans="1:18" ht="15.75" x14ac:dyDescent="0.25">
      <c r="A20" s="95" t="s">
        <v>62</v>
      </c>
      <c r="B20" s="120" t="s">
        <v>64</v>
      </c>
      <c r="C20" s="97">
        <f t="shared" si="0"/>
        <v>304.61355519367544</v>
      </c>
      <c r="D20" s="99">
        <f t="shared" si="1"/>
        <v>62318.493484318635</v>
      </c>
      <c r="E20" s="18">
        <f t="shared" si="7"/>
        <v>43528.828571428574</v>
      </c>
      <c r="F20" s="115">
        <v>87057.657142857148</v>
      </c>
      <c r="G20" s="123">
        <f t="shared" si="2"/>
        <v>24739.163658538513</v>
      </c>
      <c r="H20" s="123">
        <f t="shared" si="8"/>
        <v>71421.5</v>
      </c>
      <c r="I20" s="116">
        <v>142843</v>
      </c>
      <c r="J20" s="123">
        <f t="shared" si="3"/>
        <v>80524.506515681365</v>
      </c>
      <c r="K20" s="130">
        <v>0.48880121800493487</v>
      </c>
      <c r="L20" s="101">
        <f>'# and Assessed Value of Parcels'!G15/'# and Assessed Value of Parcels'!O15</f>
        <v>0.95576808129109381</v>
      </c>
      <c r="M20" s="101">
        <f>'# and Assessed Value of Parcels'!H15/'# and Assessed Value of Parcels'!P15</f>
        <v>0.9003796958191036</v>
      </c>
      <c r="N20" s="101">
        <f t="shared" si="4"/>
        <v>0.92807388855509876</v>
      </c>
      <c r="O20" s="102">
        <f>'Tax Levies and EQ Tax Rates'!I15</f>
        <v>1369687.7</v>
      </c>
      <c r="P20" s="102">
        <f t="shared" si="5"/>
        <v>1271171.3898450895</v>
      </c>
      <c r="Q20" s="103">
        <v>5546</v>
      </c>
      <c r="R20" s="119">
        <f t="shared" si="6"/>
        <v>229.20508291472945</v>
      </c>
    </row>
    <row r="21" spans="1:18" ht="15.75" customHeight="1" x14ac:dyDescent="0.25">
      <c r="A21" s="95" t="s">
        <v>62</v>
      </c>
      <c r="B21" s="96" t="s">
        <v>65</v>
      </c>
      <c r="C21" s="97">
        <f t="shared" si="0"/>
        <v>502.60351265428659</v>
      </c>
      <c r="D21" s="99">
        <f t="shared" si="1"/>
        <v>92180.597299079862</v>
      </c>
      <c r="E21" s="18">
        <f t="shared" si="7"/>
        <v>18042.5</v>
      </c>
      <c r="F21" s="115">
        <v>36085</v>
      </c>
      <c r="G21" s="123">
        <f t="shared" si="2"/>
        <v>-56095.597299079862</v>
      </c>
      <c r="H21" s="123">
        <f t="shared" si="8"/>
        <v>82539</v>
      </c>
      <c r="I21" s="116">
        <v>165078</v>
      </c>
      <c r="J21" s="123">
        <f t="shared" si="3"/>
        <v>72897.402700920138</v>
      </c>
      <c r="K21" s="130">
        <v>0.54523785631762611</v>
      </c>
      <c r="L21" s="101">
        <f>'# and Assessed Value of Parcels'!G16/'# and Assessed Value of Parcels'!O16</f>
        <v>0.96660808435852374</v>
      </c>
      <c r="M21" s="101">
        <f>'# and Assessed Value of Parcels'!H16/'# and Assessed Value of Parcels'!P16</f>
        <v>0.93631576070851408</v>
      </c>
      <c r="N21" s="101">
        <f t="shared" si="4"/>
        <v>0.95146192253351891</v>
      </c>
      <c r="O21" s="102">
        <f>'Tax Levies and EQ Tax Rates'!I16</f>
        <v>1227003.3700000001</v>
      </c>
      <c r="P21" s="102">
        <f t="shared" si="5"/>
        <v>1167446.9853753068</v>
      </c>
      <c r="Q21" s="103">
        <v>3087</v>
      </c>
      <c r="R21" s="119">
        <f t="shared" si="6"/>
        <v>378.18172509728112</v>
      </c>
    </row>
    <row r="22" spans="1:18" ht="15.75" customHeight="1" x14ac:dyDescent="0.25">
      <c r="A22" s="133" t="s">
        <v>29</v>
      </c>
      <c r="B22" s="134" t="s">
        <v>64</v>
      </c>
      <c r="C22" s="135">
        <f t="shared" si="0"/>
        <v>1650.9822274651983</v>
      </c>
      <c r="D22" s="136">
        <f t="shared" si="1"/>
        <v>379732.79798541177</v>
      </c>
      <c r="E22" s="18">
        <f t="shared" si="7"/>
        <v>109844.5</v>
      </c>
      <c r="F22" s="143">
        <v>219689</v>
      </c>
      <c r="G22" s="137">
        <f t="shared" si="2"/>
        <v>-160043.79798541177</v>
      </c>
      <c r="H22" s="123">
        <f t="shared" si="8"/>
        <v>301609.22180063894</v>
      </c>
      <c r="I22" s="144">
        <v>603218.44360127789</v>
      </c>
      <c r="J22" s="137">
        <f t="shared" si="3"/>
        <v>223485.64561586612</v>
      </c>
      <c r="K22" s="138">
        <v>0.43477472481284701</v>
      </c>
      <c r="L22" s="139">
        <f>'[1]# and Assessed Value of Parcels'!G17/'[1]# and Assessed Value of Parcels'!O17</f>
        <v>0.78907203907203904</v>
      </c>
      <c r="M22" s="139">
        <f>'[1]# and Assessed Value of Parcels'!H17/'[1]# and Assessed Value of Parcels'!P17</f>
        <v>0.44402101784565112</v>
      </c>
      <c r="N22" s="139">
        <f t="shared" si="4"/>
        <v>0.61654652845884506</v>
      </c>
      <c r="O22" s="140">
        <f>'[1]Tax Levies and EQ Tax Rates'!I17</f>
        <v>15861222.08</v>
      </c>
      <c r="P22" s="140">
        <f t="shared" si="5"/>
        <v>9779181.4105387814</v>
      </c>
      <c r="Q22" s="141">
        <v>7872</v>
      </c>
      <c r="R22" s="142">
        <f t="shared" si="6"/>
        <v>1242.2740612981177</v>
      </c>
    </row>
    <row r="23" spans="1:18" ht="15.75" customHeight="1" x14ac:dyDescent="0.25">
      <c r="A23" s="95" t="s">
        <v>29</v>
      </c>
      <c r="B23" s="96" t="s">
        <v>30</v>
      </c>
      <c r="C23" s="97">
        <f t="shared" si="0"/>
        <v>745.21674999423681</v>
      </c>
      <c r="D23" s="99">
        <f t="shared" si="1"/>
        <v>44268.269292526471</v>
      </c>
      <c r="E23" s="18">
        <f t="shared" si="7"/>
        <v>82264.833333333328</v>
      </c>
      <c r="F23" s="115">
        <v>164529.66666666666</v>
      </c>
      <c r="G23" s="123">
        <f t="shared" si="2"/>
        <v>120261.39737414019</v>
      </c>
      <c r="H23" s="123">
        <f t="shared" si="8"/>
        <v>103417.5</v>
      </c>
      <c r="I23" s="116">
        <v>206835</v>
      </c>
      <c r="J23" s="123">
        <f t="shared" si="3"/>
        <v>162566.73070747353</v>
      </c>
      <c r="K23" s="130">
        <v>1.6834106277564524</v>
      </c>
      <c r="L23" s="101">
        <f>'# and Assessed Value of Parcels'!G18/'# and Assessed Value of Parcels'!O18</f>
        <v>0.84162883700821445</v>
      </c>
      <c r="M23" s="101">
        <f>'# and Assessed Value of Parcels'!H18/'# and Assessed Value of Parcels'!P18</f>
        <v>0.54365223337971258</v>
      </c>
      <c r="N23" s="101">
        <f t="shared" si="4"/>
        <v>0.69264053519396351</v>
      </c>
      <c r="O23" s="102">
        <f>'Tax Levies and EQ Tax Rates'!I18</f>
        <v>252218004</v>
      </c>
      <c r="P23" s="102">
        <f t="shared" si="5"/>
        <v>174696413.27611324</v>
      </c>
      <c r="Q23" s="103">
        <v>311549</v>
      </c>
      <c r="R23" s="119">
        <f t="shared" si="6"/>
        <v>560.73495108670943</v>
      </c>
    </row>
    <row r="24" spans="1:18" ht="15.75" customHeight="1" x14ac:dyDescent="0.25">
      <c r="A24" s="95" t="s">
        <v>66</v>
      </c>
      <c r="B24" s="96" t="s">
        <v>67</v>
      </c>
      <c r="C24" s="97">
        <f t="shared" si="0"/>
        <v>569.43520257507157</v>
      </c>
      <c r="D24" s="99">
        <f t="shared" si="1"/>
        <v>192154.9919501635</v>
      </c>
      <c r="E24" s="18">
        <f t="shared" si="7"/>
        <v>30345.75</v>
      </c>
      <c r="F24" s="115">
        <v>60691.5</v>
      </c>
      <c r="G24" s="123">
        <f t="shared" si="2"/>
        <v>-131463.4919501635</v>
      </c>
      <c r="H24" s="123">
        <f t="shared" si="8"/>
        <v>189913.5</v>
      </c>
      <c r="I24" s="116">
        <v>379827</v>
      </c>
      <c r="J24" s="123">
        <f t="shared" si="3"/>
        <v>187672.0080498365</v>
      </c>
      <c r="K24" s="130">
        <v>0.2963416129843548</v>
      </c>
      <c r="L24" s="101">
        <f>'# and Assessed Value of Parcels'!G19/'# and Assessed Value of Parcels'!O19</f>
        <v>0.96383866481223923</v>
      </c>
      <c r="M24" s="101">
        <f>'# and Assessed Value of Parcels'!H19/'# and Assessed Value of Parcels'!P19</f>
        <v>0.93906348074760293</v>
      </c>
      <c r="N24" s="101">
        <f t="shared" si="4"/>
        <v>0.95145107277992103</v>
      </c>
      <c r="O24" s="102">
        <f>'Tax Levies and EQ Tax Rates'!I19</f>
        <v>2789807.14</v>
      </c>
      <c r="P24" s="102">
        <f t="shared" si="5"/>
        <v>2654364.9962020833</v>
      </c>
      <c r="Q24" s="103">
        <v>6195</v>
      </c>
      <c r="R24" s="119">
        <f t="shared" si="6"/>
        <v>428.46892594061069</v>
      </c>
    </row>
    <row r="25" spans="1:18" ht="15.75" customHeight="1" x14ac:dyDescent="0.25">
      <c r="A25" s="95" t="s">
        <v>31</v>
      </c>
      <c r="B25" s="96" t="s">
        <v>32</v>
      </c>
      <c r="C25" s="97">
        <f t="shared" si="0"/>
        <v>1046.6694047916124</v>
      </c>
      <c r="D25" s="99">
        <f t="shared" si="1"/>
        <v>180973.59716142976</v>
      </c>
      <c r="E25" s="18">
        <f t="shared" si="7"/>
        <v>114092.91666666667</v>
      </c>
      <c r="F25" s="115">
        <v>228185.83333333334</v>
      </c>
      <c r="G25" s="123">
        <f t="shared" si="2"/>
        <v>47212.236171903583</v>
      </c>
      <c r="H25" s="123">
        <f t="shared" si="8"/>
        <v>190156</v>
      </c>
      <c r="I25" s="116">
        <v>380312</v>
      </c>
      <c r="J25" s="123">
        <f t="shared" si="3"/>
        <v>199338.40283857024</v>
      </c>
      <c r="K25" s="130">
        <v>0.5783547551734719</v>
      </c>
      <c r="L25" s="101">
        <f>'# and Assessed Value of Parcels'!G20/'# and Assessed Value of Parcels'!O20</f>
        <v>0.95667524385135538</v>
      </c>
      <c r="M25" s="101">
        <f>'# and Assessed Value of Parcels'!H20/'# and Assessed Value of Parcels'!P20</f>
        <v>0.81220548036186702</v>
      </c>
      <c r="N25" s="101">
        <f t="shared" si="4"/>
        <v>0.88444036210661126</v>
      </c>
      <c r="O25" s="102">
        <f>'Tax Levies and EQ Tax Rates'!I20</f>
        <v>44269379.890000001</v>
      </c>
      <c r="P25" s="102">
        <f t="shared" si="5"/>
        <v>39153626.380146734</v>
      </c>
      <c r="Q25" s="103">
        <v>49715</v>
      </c>
      <c r="R25" s="119">
        <f t="shared" si="6"/>
        <v>787.561628887594</v>
      </c>
    </row>
    <row r="26" spans="1:18" ht="15.75" customHeight="1" x14ac:dyDescent="0.25">
      <c r="A26" s="95" t="s">
        <v>31</v>
      </c>
      <c r="B26" s="96" t="s">
        <v>33</v>
      </c>
      <c r="C26" s="97">
        <f t="shared" si="0"/>
        <v>698.49838573736338</v>
      </c>
      <c r="D26" s="99">
        <f t="shared" si="1"/>
        <v>158135.74660771838</v>
      </c>
      <c r="E26" s="18">
        <f t="shared" si="7"/>
        <v>65565.357142857145</v>
      </c>
      <c r="F26" s="115">
        <v>131130.71428571429</v>
      </c>
      <c r="G26" s="123">
        <f t="shared" si="2"/>
        <v>-27005.032322004088</v>
      </c>
      <c r="H26" s="123">
        <f t="shared" si="8"/>
        <v>187762.5</v>
      </c>
      <c r="I26" s="116">
        <v>375525</v>
      </c>
      <c r="J26" s="123">
        <f t="shared" si="3"/>
        <v>217389.25339228162</v>
      </c>
      <c r="K26" s="130">
        <v>0.44170808986667826</v>
      </c>
      <c r="L26" s="101">
        <f>'# and Assessed Value of Parcels'!G21/'# and Assessed Value of Parcels'!O21</f>
        <v>0.97122792306482886</v>
      </c>
      <c r="M26" s="101">
        <f>'# and Assessed Value of Parcels'!H21/'# and Assessed Value of Parcels'!P21</f>
        <v>0.88589383044965919</v>
      </c>
      <c r="N26" s="101">
        <f t="shared" si="4"/>
        <v>0.92856087675724397</v>
      </c>
      <c r="O26" s="102">
        <f>'Tax Levies and EQ Tax Rates'!I21</f>
        <v>37853002.5</v>
      </c>
      <c r="P26" s="102">
        <f t="shared" si="5"/>
        <v>35148817.189294145</v>
      </c>
      <c r="Q26" s="103">
        <v>66876</v>
      </c>
      <c r="R26" s="119">
        <f t="shared" si="6"/>
        <v>525.58193057739913</v>
      </c>
    </row>
    <row r="27" spans="1:18" ht="15.75" customHeight="1" x14ac:dyDescent="0.25">
      <c r="A27" s="95" t="s">
        <v>31</v>
      </c>
      <c r="B27" s="96" t="s">
        <v>34</v>
      </c>
      <c r="C27" s="97">
        <f t="shared" si="0"/>
        <v>1103.8948490223443</v>
      </c>
      <c r="D27" s="99">
        <f t="shared" si="1"/>
        <v>135864.37193182769</v>
      </c>
      <c r="E27" s="18">
        <f t="shared" si="7"/>
        <v>153039.90625</v>
      </c>
      <c r="F27" s="115">
        <v>306079.8125</v>
      </c>
      <c r="G27" s="123">
        <f t="shared" si="2"/>
        <v>170215.44056817231</v>
      </c>
      <c r="H27" s="123">
        <f>0.5*I27</f>
        <v>162441.5</v>
      </c>
      <c r="I27" s="116">
        <v>324883</v>
      </c>
      <c r="J27" s="123">
        <f t="shared" si="3"/>
        <v>189018.62806817231</v>
      </c>
      <c r="K27" s="130">
        <v>0.81249766463885231</v>
      </c>
      <c r="L27" s="101">
        <f>'# and Assessed Value of Parcels'!G22/'# and Assessed Value of Parcels'!O22</f>
        <v>0.92460317460317465</v>
      </c>
      <c r="M27" s="101">
        <f>'# and Assessed Value of Parcels'!H22/'# and Assessed Value of Parcels'!P22</f>
        <v>0.82398227250676292</v>
      </c>
      <c r="N27" s="101">
        <f t="shared" si="4"/>
        <v>0.87429272355496879</v>
      </c>
      <c r="O27" s="102">
        <f>'Tax Levies and EQ Tax Rates'!I22</f>
        <v>13904912.58</v>
      </c>
      <c r="P27" s="102">
        <f t="shared" si="5"/>
        <v>12156963.890361948</v>
      </c>
      <c r="Q27" s="103">
        <v>14636</v>
      </c>
      <c r="R27" s="119">
        <f t="shared" si="6"/>
        <v>830.62065389190684</v>
      </c>
    </row>
    <row r="28" spans="1:18" ht="15.75" customHeight="1" x14ac:dyDescent="0.25">
      <c r="A28" s="95" t="s">
        <v>31</v>
      </c>
      <c r="B28" s="96" t="s">
        <v>35</v>
      </c>
      <c r="C28" s="97">
        <f t="shared" si="0"/>
        <v>944.51962621363077</v>
      </c>
      <c r="D28" s="99">
        <f t="shared" si="1"/>
        <v>139775.65848867095</v>
      </c>
      <c r="E28" s="18">
        <f t="shared" si="7"/>
        <v>104337.54</v>
      </c>
      <c r="F28" s="115">
        <v>208675.08</v>
      </c>
      <c r="G28" s="123">
        <f t="shared" si="2"/>
        <v>68899.421511329041</v>
      </c>
      <c r="H28" s="123">
        <f t="shared" ref="H28:H47" si="9">0.5*I28</f>
        <v>165477.5</v>
      </c>
      <c r="I28" s="116">
        <v>330955</v>
      </c>
      <c r="J28" s="123">
        <f t="shared" si="3"/>
        <v>191179.34151132905</v>
      </c>
      <c r="K28" s="130">
        <v>0.67573970777621895</v>
      </c>
      <c r="L28" s="101">
        <f>'# and Assessed Value of Parcels'!G23/'# and Assessed Value of Parcels'!O23</f>
        <v>0.96279666452854396</v>
      </c>
      <c r="M28" s="101">
        <f>'# and Assessed Value of Parcels'!H23/'# and Assessed Value of Parcels'!P23</f>
        <v>0.85286917759426784</v>
      </c>
      <c r="N28" s="101">
        <f t="shared" si="4"/>
        <v>0.9078329210614059</v>
      </c>
      <c r="O28" s="102">
        <f>'Tax Levies and EQ Tax Rates'!I23</f>
        <v>35498457.659999996</v>
      </c>
      <c r="P28" s="102">
        <f t="shared" si="5"/>
        <v>32226668.510652438</v>
      </c>
      <c r="Q28" s="103">
        <v>45345</v>
      </c>
      <c r="R28" s="119">
        <f t="shared" si="6"/>
        <v>710.69949301251381</v>
      </c>
    </row>
    <row r="29" spans="1:18" ht="15.75" customHeight="1" x14ac:dyDescent="0.25">
      <c r="A29" s="95" t="s">
        <v>31</v>
      </c>
      <c r="B29" s="96" t="s">
        <v>36</v>
      </c>
      <c r="C29" s="97">
        <f t="shared" si="0"/>
        <v>811.2410206826878</v>
      </c>
      <c r="D29" s="99">
        <f t="shared" si="1"/>
        <v>114972.85507168721</v>
      </c>
      <c r="E29" s="18">
        <f t="shared" si="7"/>
        <v>81734.833333333328</v>
      </c>
      <c r="F29" s="115">
        <v>163469.66666666666</v>
      </c>
      <c r="G29" s="123">
        <f t="shared" si="2"/>
        <v>48496.811594979445</v>
      </c>
      <c r="H29" s="123">
        <f t="shared" si="9"/>
        <v>146735</v>
      </c>
      <c r="I29" s="116">
        <v>293470</v>
      </c>
      <c r="J29" s="123">
        <f t="shared" si="3"/>
        <v>178497.1449283128</v>
      </c>
      <c r="K29" s="130">
        <v>0.70559352481667736</v>
      </c>
      <c r="L29" s="101">
        <f>'# and Assessed Value of Parcels'!G24/'# and Assessed Value of Parcels'!O24</f>
        <v>0.95376862401402274</v>
      </c>
      <c r="M29" s="101">
        <f>'# and Assessed Value of Parcels'!H24/'# and Assessed Value of Parcels'!P24</f>
        <v>0.87694473065069911</v>
      </c>
      <c r="N29" s="101">
        <f t="shared" si="4"/>
        <v>0.91535667733236092</v>
      </c>
      <c r="O29" s="102">
        <f>'Tax Levies and EQ Tax Rates'!I24</f>
        <v>10748447</v>
      </c>
      <c r="P29" s="102">
        <f t="shared" si="5"/>
        <v>9838662.7324029822</v>
      </c>
      <c r="Q29" s="103">
        <v>16118</v>
      </c>
      <c r="R29" s="119">
        <f t="shared" si="6"/>
        <v>610.41461300427977</v>
      </c>
    </row>
    <row r="30" spans="1:18" ht="15.75" customHeight="1" x14ac:dyDescent="0.25">
      <c r="A30" s="95" t="s">
        <v>31</v>
      </c>
      <c r="B30" s="96" t="s">
        <v>37</v>
      </c>
      <c r="C30" s="97">
        <f t="shared" si="0"/>
        <v>1116.2138867978485</v>
      </c>
      <c r="D30" s="99">
        <f t="shared" si="1"/>
        <v>135016.32266376232</v>
      </c>
      <c r="E30" s="18">
        <f t="shared" si="7"/>
        <v>116419.83526011561</v>
      </c>
      <c r="F30" s="115">
        <v>232839.67052023122</v>
      </c>
      <c r="G30" s="123">
        <f t="shared" si="2"/>
        <v>97823.347856468899</v>
      </c>
      <c r="H30" s="123">
        <f t="shared" si="9"/>
        <v>153810</v>
      </c>
      <c r="I30" s="116">
        <v>307620</v>
      </c>
      <c r="J30" s="123">
        <f t="shared" si="3"/>
        <v>172603.67733623768</v>
      </c>
      <c r="K30" s="130">
        <v>0.82672514313518219</v>
      </c>
      <c r="L30" s="101">
        <f>'# and Assessed Value of Parcels'!G25/'# and Assessed Value of Parcels'!O25</f>
        <v>0.95527753810756399</v>
      </c>
      <c r="M30" s="101">
        <f>'# and Assessed Value of Parcels'!H25/'# and Assessed Value of Parcels'!P25</f>
        <v>0.7164271010805654</v>
      </c>
      <c r="N30" s="101">
        <f t="shared" si="4"/>
        <v>0.8358523195940647</v>
      </c>
      <c r="O30" s="102">
        <f>'Tax Levies and EQ Tax Rates'!I25</f>
        <v>104139647.23</v>
      </c>
      <c r="P30" s="102">
        <f t="shared" si="5"/>
        <v>87045365.698903114</v>
      </c>
      <c r="Q30" s="103">
        <v>103639</v>
      </c>
      <c r="R30" s="119">
        <f t="shared" si="6"/>
        <v>839.89005778619162</v>
      </c>
    </row>
    <row r="31" spans="1:18" ht="15.75" customHeight="1" x14ac:dyDescent="0.25">
      <c r="A31" s="95" t="s">
        <v>38</v>
      </c>
      <c r="B31" s="96" t="s">
        <v>39</v>
      </c>
      <c r="C31" s="97">
        <f t="shared" si="0"/>
        <v>1516.1332531230985</v>
      </c>
      <c r="D31" s="99">
        <f t="shared" si="1"/>
        <v>80915.140242677313</v>
      </c>
      <c r="E31" s="18">
        <f t="shared" si="7"/>
        <v>67359.375</v>
      </c>
      <c r="F31" s="115">
        <v>134718.75</v>
      </c>
      <c r="G31" s="123">
        <f t="shared" si="2"/>
        <v>53803.609757322687</v>
      </c>
      <c r="H31" s="123">
        <f t="shared" si="9"/>
        <v>91945.5</v>
      </c>
      <c r="I31" s="116">
        <v>183891</v>
      </c>
      <c r="J31" s="123">
        <f t="shared" si="3"/>
        <v>102975.85975732269</v>
      </c>
      <c r="K31" s="130">
        <v>1.8737324666013986</v>
      </c>
      <c r="L31" s="101">
        <f>'# and Assessed Value of Parcels'!G26/'# and Assessed Value of Parcels'!O26</f>
        <v>0.96441281138790036</v>
      </c>
      <c r="M31" s="101">
        <f>'# and Assessed Value of Parcels'!H26/'# and Assessed Value of Parcels'!P26</f>
        <v>0.88303144331890093</v>
      </c>
      <c r="N31" s="101">
        <f t="shared" si="4"/>
        <v>0.92372212735340065</v>
      </c>
      <c r="O31" s="102">
        <f>'Tax Levies and EQ Tax Rates'!I26</f>
        <v>12047538.390000001</v>
      </c>
      <c r="P31" s="102">
        <f t="shared" si="5"/>
        <v>11128577.790982563</v>
      </c>
      <c r="Q31" s="103">
        <v>9755</v>
      </c>
      <c r="R31" s="119">
        <f t="shared" si="6"/>
        <v>1140.8075644267108</v>
      </c>
    </row>
    <row r="32" spans="1:18" ht="15.75" customHeight="1" x14ac:dyDescent="0.25">
      <c r="A32" s="95" t="s">
        <v>38</v>
      </c>
      <c r="B32" s="96" t="s">
        <v>40</v>
      </c>
      <c r="C32" s="97">
        <f t="shared" si="0"/>
        <v>768.10362710001505</v>
      </c>
      <c r="D32" s="99">
        <f t="shared" si="1"/>
        <v>230163.16568264159</v>
      </c>
      <c r="E32" s="18">
        <f t="shared" si="7"/>
        <v>146031.25</v>
      </c>
      <c r="F32" s="115">
        <v>292062.5</v>
      </c>
      <c r="G32" s="123">
        <f t="shared" si="2"/>
        <v>61899.334317358414</v>
      </c>
      <c r="H32" s="123">
        <f t="shared" si="9"/>
        <v>240243.5</v>
      </c>
      <c r="I32" s="116">
        <v>480487</v>
      </c>
      <c r="J32" s="123">
        <f t="shared" si="3"/>
        <v>250323.83431735841</v>
      </c>
      <c r="K32" s="130">
        <v>0.33372135146903037</v>
      </c>
      <c r="L32" s="101">
        <f>'# and Assessed Value of Parcels'!G27/'# and Assessed Value of Parcels'!O27</f>
        <v>0.97272104180945851</v>
      </c>
      <c r="M32" s="101">
        <f>'# and Assessed Value of Parcels'!H27/'# and Assessed Value of Parcels'!P27</f>
        <v>0.92205750411890763</v>
      </c>
      <c r="N32" s="101">
        <f t="shared" si="4"/>
        <v>0.94738927296418307</v>
      </c>
      <c r="O32" s="102">
        <f>'Tax Levies and EQ Tax Rates'!I27</f>
        <v>24954149.290000003</v>
      </c>
      <c r="P32" s="102">
        <f t="shared" si="5"/>
        <v>23641293.353292789</v>
      </c>
      <c r="Q32" s="103">
        <v>40905</v>
      </c>
      <c r="R32" s="119">
        <f t="shared" si="6"/>
        <v>577.95607757713697</v>
      </c>
    </row>
    <row r="33" spans="1:18" ht="15.75" customHeight="1" x14ac:dyDescent="0.25">
      <c r="A33" s="95" t="s">
        <v>38</v>
      </c>
      <c r="B33" s="96" t="s">
        <v>68</v>
      </c>
      <c r="C33" s="97">
        <f t="shared" si="0"/>
        <v>1009.8014312918989</v>
      </c>
      <c r="D33" s="99">
        <f t="shared" si="1"/>
        <v>249507.41938031407</v>
      </c>
      <c r="E33" s="18">
        <f t="shared" si="7"/>
        <v>449999.4</v>
      </c>
      <c r="F33" s="115">
        <v>899998.8</v>
      </c>
      <c r="G33" s="123">
        <f t="shared" si="2"/>
        <v>650491.38061968598</v>
      </c>
      <c r="H33" s="123">
        <f t="shared" si="9"/>
        <v>271006</v>
      </c>
      <c r="I33" s="116">
        <v>542012</v>
      </c>
      <c r="J33" s="123">
        <f t="shared" si="3"/>
        <v>292504.58061968593</v>
      </c>
      <c r="K33" s="130">
        <v>0.4047179974847559</v>
      </c>
      <c r="L33" s="101">
        <f>'# and Assessed Value of Parcels'!G28/'# and Assessed Value of Parcels'!O28</f>
        <v>0.95530168589174802</v>
      </c>
      <c r="M33" s="101">
        <f>'# and Assessed Value of Parcels'!H28/'# and Assessed Value of Parcels'!P28</f>
        <v>0.88451081022686973</v>
      </c>
      <c r="N33" s="101">
        <f t="shared" si="4"/>
        <v>0.91990624805930887</v>
      </c>
      <c r="O33" s="102">
        <f>'Tax Levies and EQ Tax Rates'!I28</f>
        <v>22856408.080000002</v>
      </c>
      <c r="P33" s="102">
        <f t="shared" si="5"/>
        <v>21025752.600985274</v>
      </c>
      <c r="Q33" s="103">
        <v>27672</v>
      </c>
      <c r="R33" s="119">
        <f t="shared" si="6"/>
        <v>759.82049006162447</v>
      </c>
    </row>
    <row r="34" spans="1:18" ht="15.75" customHeight="1" x14ac:dyDescent="0.25">
      <c r="A34" s="95" t="s">
        <v>38</v>
      </c>
      <c r="B34" s="96" t="s">
        <v>69</v>
      </c>
      <c r="C34" s="97">
        <f t="shared" si="0"/>
        <v>3751.3677489234497</v>
      </c>
      <c r="D34" s="99">
        <f t="shared" si="1"/>
        <v>730382.93661434168</v>
      </c>
      <c r="E34" s="18">
        <f t="shared" si="7"/>
        <v>719488</v>
      </c>
      <c r="F34" s="115">
        <v>1438976</v>
      </c>
      <c r="G34" s="123">
        <f t="shared" si="2"/>
        <v>708593.06338565832</v>
      </c>
      <c r="H34" s="123">
        <f t="shared" si="9"/>
        <v>348659</v>
      </c>
      <c r="I34" s="116">
        <v>697318</v>
      </c>
      <c r="J34" s="123">
        <f t="shared" si="3"/>
        <v>-33064.936614341685</v>
      </c>
      <c r="K34" s="130">
        <v>0.51361656479993245</v>
      </c>
      <c r="L34" s="101">
        <f>'# and Assessed Value of Parcels'!G29/'# and Assessed Value of Parcels'!O29</f>
        <v>0.93580470162748641</v>
      </c>
      <c r="M34" s="101">
        <f>'# and Assessed Value of Parcels'!H29/'# and Assessed Value of Parcels'!P29</f>
        <v>0.81959946110420667</v>
      </c>
      <c r="N34" s="101">
        <f t="shared" si="4"/>
        <v>0.87770208136584649</v>
      </c>
      <c r="O34" s="102">
        <f>'Tax Levies and EQ Tax Rates'!I29</f>
        <v>4660000</v>
      </c>
      <c r="P34" s="102">
        <f t="shared" si="5"/>
        <v>4090091.6991648446</v>
      </c>
      <c r="Q34" s="103">
        <v>1449</v>
      </c>
      <c r="R34" s="119">
        <f t="shared" si="6"/>
        <v>2822.6995853449585</v>
      </c>
    </row>
    <row r="35" spans="1:18" ht="15.75" customHeight="1" x14ac:dyDescent="0.25">
      <c r="A35" s="95" t="s">
        <v>70</v>
      </c>
      <c r="B35" s="96" t="s">
        <v>71</v>
      </c>
      <c r="C35" s="97">
        <f t="shared" si="0"/>
        <v>1048.8941908071679</v>
      </c>
      <c r="D35" s="99">
        <f t="shared" si="1"/>
        <v>226997.37615629131</v>
      </c>
      <c r="E35" s="18">
        <f t="shared" si="7"/>
        <v>70305.25</v>
      </c>
      <c r="F35" s="115">
        <v>140610.5</v>
      </c>
      <c r="G35" s="123">
        <f t="shared" si="2"/>
        <v>-86386.876156291313</v>
      </c>
      <c r="H35" s="123">
        <f t="shared" si="9"/>
        <v>220550.5</v>
      </c>
      <c r="I35" s="116">
        <v>441101</v>
      </c>
      <c r="J35" s="123">
        <f t="shared" si="3"/>
        <v>214103.62384370869</v>
      </c>
      <c r="K35" s="130">
        <v>0.46207326647026414</v>
      </c>
      <c r="L35" s="101">
        <f>'# and Assessed Value of Parcels'!G30/'# and Assessed Value of Parcels'!O30</f>
        <v>0.93611412622111956</v>
      </c>
      <c r="M35" s="101">
        <f>'# and Assessed Value of Parcels'!H30/'# and Assessed Value of Parcels'!P30</f>
        <v>0.80900620679671975</v>
      </c>
      <c r="N35" s="101">
        <f t="shared" si="4"/>
        <v>0.87256016650891965</v>
      </c>
      <c r="O35" s="102">
        <f>'Tax Levies and EQ Tax Rates'!I30</f>
        <v>15473379.300000001</v>
      </c>
      <c r="P35" s="102">
        <f t="shared" si="5"/>
        <v>13501454.418463672</v>
      </c>
      <c r="Q35" s="103">
        <v>17107</v>
      </c>
      <c r="R35" s="119">
        <f t="shared" si="6"/>
        <v>789.2356589971165</v>
      </c>
    </row>
    <row r="36" spans="1:18" ht="15.75" customHeight="1" x14ac:dyDescent="0.25">
      <c r="A36" s="95" t="s">
        <v>70</v>
      </c>
      <c r="B36" s="96" t="s">
        <v>72</v>
      </c>
      <c r="C36" s="97">
        <f t="shared" si="0"/>
        <v>1613.0536815055621</v>
      </c>
      <c r="D36" s="99">
        <f t="shared" si="1"/>
        <v>164872.32138075167</v>
      </c>
      <c r="E36" s="18">
        <f t="shared" si="7"/>
        <v>111185.87083333333</v>
      </c>
      <c r="F36" s="115">
        <v>222371.74166666667</v>
      </c>
      <c r="G36" s="123">
        <f t="shared" si="2"/>
        <v>57499.420285914995</v>
      </c>
      <c r="H36" s="123">
        <f t="shared" si="9"/>
        <v>173989</v>
      </c>
      <c r="I36" s="116">
        <v>347978</v>
      </c>
      <c r="J36" s="123">
        <f t="shared" si="3"/>
        <v>183105.67861924833</v>
      </c>
      <c r="K36" s="130">
        <v>0.97836536053884959</v>
      </c>
      <c r="L36" s="101">
        <f>'# and Assessed Value of Parcels'!G31/'# and Assessed Value of Parcels'!O31</f>
        <v>0.97167216721672167</v>
      </c>
      <c r="M36" s="101">
        <f>'# and Assessed Value of Parcels'!H31/'# and Assessed Value of Parcels'!P31</f>
        <v>0.87191037944018179</v>
      </c>
      <c r="N36" s="101">
        <f t="shared" si="4"/>
        <v>0.92179127332845168</v>
      </c>
      <c r="O36" s="102">
        <f>'Tax Levies and EQ Tax Rates'!I31</f>
        <v>14371926.5</v>
      </c>
      <c r="P36" s="102">
        <f t="shared" si="5"/>
        <v>13247916.428617917</v>
      </c>
      <c r="Q36" s="103">
        <v>10915</v>
      </c>
      <c r="R36" s="119">
        <f t="shared" si="6"/>
        <v>1213.7348995527179</v>
      </c>
    </row>
    <row r="37" spans="1:18" ht="15.75" customHeight="1" x14ac:dyDescent="0.25">
      <c r="A37" s="95" t="s">
        <v>41</v>
      </c>
      <c r="B37" s="96" t="s">
        <v>73</v>
      </c>
      <c r="C37" s="97">
        <f t="shared" si="0"/>
        <v>1194.5119808609468</v>
      </c>
      <c r="D37" s="99">
        <f t="shared" si="1"/>
        <v>147814.68517905843</v>
      </c>
      <c r="E37" s="18">
        <f t="shared" si="7"/>
        <v>85674.365168539327</v>
      </c>
      <c r="F37" s="115">
        <v>171348.73033707865</v>
      </c>
      <c r="G37" s="123">
        <f t="shared" si="2"/>
        <v>23534.045158020221</v>
      </c>
      <c r="H37" s="123">
        <f t="shared" si="9"/>
        <v>174720.5</v>
      </c>
      <c r="I37" s="116">
        <v>349441</v>
      </c>
      <c r="J37" s="123">
        <f t="shared" si="3"/>
        <v>201626.31482094157</v>
      </c>
      <c r="K37" s="130">
        <v>0.80811455195669468</v>
      </c>
      <c r="L37" s="101">
        <f>'# and Assessed Value of Parcels'!G32/'# and Assessed Value of Parcels'!O32</f>
        <v>0.93861280892904597</v>
      </c>
      <c r="M37" s="101">
        <f>'# and Assessed Value of Parcels'!H32/'# and Assessed Value of Parcels'!P32</f>
        <v>0.81106844376357135</v>
      </c>
      <c r="N37" s="101">
        <f t="shared" si="4"/>
        <v>0.87484062634630866</v>
      </c>
      <c r="O37" s="102">
        <f>'Tax Levies and EQ Tax Rates'!I32</f>
        <v>13725969.970000001</v>
      </c>
      <c r="P37" s="102">
        <f t="shared" si="5"/>
        <v>12008036.165765423</v>
      </c>
      <c r="Q37" s="103">
        <v>13360</v>
      </c>
      <c r="R37" s="119">
        <f t="shared" si="6"/>
        <v>898.8051022279509</v>
      </c>
    </row>
    <row r="38" spans="1:18" ht="15.75" customHeight="1" x14ac:dyDescent="0.25">
      <c r="A38" s="95" t="s">
        <v>41</v>
      </c>
      <c r="B38" s="96" t="s">
        <v>42</v>
      </c>
      <c r="C38" s="97">
        <f t="shared" si="0"/>
        <v>1012.286117769843</v>
      </c>
      <c r="D38" s="99">
        <f t="shared" si="1"/>
        <v>51280.353242383513</v>
      </c>
      <c r="E38" s="18">
        <f t="shared" si="7"/>
        <v>63852.06</v>
      </c>
      <c r="F38" s="115">
        <v>127704.12</v>
      </c>
      <c r="G38" s="123">
        <f t="shared" si="2"/>
        <v>76423.766757616482</v>
      </c>
      <c r="H38" s="123">
        <f t="shared" si="9"/>
        <v>129510</v>
      </c>
      <c r="I38" s="116">
        <v>259020</v>
      </c>
      <c r="J38" s="123">
        <f t="shared" si="3"/>
        <v>207739.64675761649</v>
      </c>
      <c r="K38" s="130">
        <v>1.9740232930634001</v>
      </c>
      <c r="L38" s="101">
        <f>'# and Assessed Value of Parcels'!G33/'# and Assessed Value of Parcels'!O33</f>
        <v>0.8215948144603471</v>
      </c>
      <c r="M38" s="101">
        <f>'# and Assessed Value of Parcels'!H33/'# and Assessed Value of Parcels'!P33</f>
        <v>0.65337602486817126</v>
      </c>
      <c r="N38" s="101">
        <f t="shared" si="4"/>
        <v>0.73748541966425918</v>
      </c>
      <c r="O38" s="102">
        <f>'Tax Levies and EQ Tax Rates'!I33</f>
        <v>164974488.69999999</v>
      </c>
      <c r="P38" s="102">
        <f t="shared" si="5"/>
        <v>121666280.03281608</v>
      </c>
      <c r="Q38" s="103">
        <v>159732</v>
      </c>
      <c r="R38" s="119">
        <f t="shared" si="6"/>
        <v>761.69008109092783</v>
      </c>
    </row>
    <row r="39" spans="1:18" ht="15.75" customHeight="1" x14ac:dyDescent="0.25">
      <c r="A39" s="95" t="s">
        <v>41</v>
      </c>
      <c r="B39" s="96" t="s">
        <v>43</v>
      </c>
      <c r="C39" s="97">
        <f t="shared" si="0"/>
        <v>1180.5381506774322</v>
      </c>
      <c r="D39" s="99">
        <f t="shared" si="1"/>
        <v>139735.22728089581</v>
      </c>
      <c r="E39" s="18">
        <f t="shared" si="7"/>
        <v>138989.00819672132</v>
      </c>
      <c r="F39" s="115">
        <v>277978.01639344264</v>
      </c>
      <c r="G39" s="123">
        <f t="shared" si="2"/>
        <v>138242.78911254683</v>
      </c>
      <c r="H39" s="123">
        <f t="shared" si="9"/>
        <v>148505</v>
      </c>
      <c r="I39" s="116">
        <v>297010</v>
      </c>
      <c r="J39" s="123">
        <f t="shared" si="3"/>
        <v>157274.77271910419</v>
      </c>
      <c r="K39" s="130">
        <v>0.84483932480698942</v>
      </c>
      <c r="L39" s="101">
        <f>'# and Assessed Value of Parcels'!G34/'# and Assessed Value of Parcels'!O34</f>
        <v>0.95521999479302266</v>
      </c>
      <c r="M39" s="101">
        <f>'# and Assessed Value of Parcels'!H34/'# and Assessed Value of Parcels'!P34</f>
        <v>0.87552226480698236</v>
      </c>
      <c r="N39" s="101">
        <f t="shared" si="4"/>
        <v>0.91537112980000246</v>
      </c>
      <c r="O39" s="102">
        <f>'Tax Levies and EQ Tax Rates'!I34</f>
        <v>10797816</v>
      </c>
      <c r="P39" s="102">
        <f t="shared" si="5"/>
        <v>9884009.0312925428</v>
      </c>
      <c r="Q39" s="103">
        <v>11127</v>
      </c>
      <c r="R39" s="119">
        <f t="shared" si="6"/>
        <v>888.29055731936216</v>
      </c>
    </row>
    <row r="40" spans="1:18" ht="15.75" customHeight="1" x14ac:dyDescent="0.25">
      <c r="A40" s="95" t="s">
        <v>41</v>
      </c>
      <c r="B40" s="96" t="s">
        <v>44</v>
      </c>
      <c r="C40" s="97">
        <f t="shared" si="0"/>
        <v>1334.3707630765366</v>
      </c>
      <c r="D40" s="99">
        <f t="shared" si="1"/>
        <v>225234.57339725422</v>
      </c>
      <c r="E40" s="18">
        <f t="shared" si="7"/>
        <v>76659.687179487184</v>
      </c>
      <c r="F40" s="115">
        <v>153319.37435897437</v>
      </c>
      <c r="G40" s="123">
        <f t="shared" si="2"/>
        <v>-71915.199038279854</v>
      </c>
      <c r="H40" s="123">
        <f t="shared" si="9"/>
        <v>238923</v>
      </c>
      <c r="I40" s="116">
        <v>477846</v>
      </c>
      <c r="J40" s="123">
        <f t="shared" si="3"/>
        <v>252611.42660274578</v>
      </c>
      <c r="K40" s="130">
        <v>0.59243602922498906</v>
      </c>
      <c r="L40" s="101">
        <f>'# and Assessed Value of Parcels'!G35/'# and Assessed Value of Parcels'!O35</f>
        <v>0.95973428121904314</v>
      </c>
      <c r="M40" s="101">
        <f>'# and Assessed Value of Parcels'!H35/'# and Assessed Value of Parcels'!P35</f>
        <v>0.74630979334649838</v>
      </c>
      <c r="N40" s="101">
        <f t="shared" si="4"/>
        <v>0.85302203728277082</v>
      </c>
      <c r="O40" s="102">
        <f>'Tax Levies and EQ Tax Rates'!I35</f>
        <v>64546529</v>
      </c>
      <c r="P40" s="102">
        <f t="shared" si="5"/>
        <v>55059611.667111449</v>
      </c>
      <c r="Q40" s="103">
        <v>54838</v>
      </c>
      <c r="R40" s="119">
        <f t="shared" si="6"/>
        <v>1004.0412062276423</v>
      </c>
    </row>
    <row r="41" spans="1:18" ht="15.75" customHeight="1" x14ac:dyDescent="0.25">
      <c r="A41" s="95" t="s">
        <v>41</v>
      </c>
      <c r="B41" s="96" t="s">
        <v>74</v>
      </c>
      <c r="C41" s="97">
        <f t="shared" si="0"/>
        <v>1242.7561457366185</v>
      </c>
      <c r="D41" s="99">
        <f t="shared" si="1"/>
        <v>161004.27308542278</v>
      </c>
      <c r="E41" s="18">
        <f t="shared" si="7"/>
        <v>148514</v>
      </c>
      <c r="F41" s="115">
        <v>297028</v>
      </c>
      <c r="G41" s="123">
        <f t="shared" si="2"/>
        <v>136023.72691457722</v>
      </c>
      <c r="H41" s="123">
        <f t="shared" si="9"/>
        <v>194040</v>
      </c>
      <c r="I41" s="116">
        <v>388080</v>
      </c>
      <c r="J41" s="123">
        <f t="shared" si="3"/>
        <v>227075.72691457722</v>
      </c>
      <c r="K41" s="130">
        <v>0.77187774083316352</v>
      </c>
      <c r="L41" s="101">
        <f>'# and Assessed Value of Parcels'!G36/'# and Assessed Value of Parcels'!O36</f>
        <v>0.93500511770726713</v>
      </c>
      <c r="M41" s="101">
        <f>'# and Assessed Value of Parcels'!H36/'# and Assessed Value of Parcels'!P36</f>
        <v>0.79393218764737428</v>
      </c>
      <c r="N41" s="101">
        <f t="shared" si="4"/>
        <v>0.86446865267732065</v>
      </c>
      <c r="O41" s="102">
        <f>'Tax Levies and EQ Tax Rates'!I36</f>
        <v>14585806</v>
      </c>
      <c r="P41" s="102">
        <f t="shared" si="5"/>
        <v>12608972.06103278</v>
      </c>
      <c r="Q41" s="103">
        <v>13484</v>
      </c>
      <c r="R41" s="119">
        <f t="shared" si="6"/>
        <v>935.10620446698158</v>
      </c>
    </row>
    <row r="42" spans="1:18" ht="15.75" customHeight="1" x14ac:dyDescent="0.25">
      <c r="A42" s="95" t="s">
        <v>45</v>
      </c>
      <c r="B42" s="96" t="s">
        <v>75</v>
      </c>
      <c r="C42" s="97">
        <f t="shared" si="0"/>
        <v>544.21538335865887</v>
      </c>
      <c r="D42" s="99">
        <f t="shared" si="1"/>
        <v>236990.12898071847</v>
      </c>
      <c r="E42" s="18">
        <f t="shared" si="7"/>
        <v>67999.25</v>
      </c>
      <c r="F42" s="115">
        <v>135998.5</v>
      </c>
      <c r="G42" s="123">
        <f t="shared" si="2"/>
        <v>-100991.62898071847</v>
      </c>
      <c r="H42" s="123">
        <f t="shared" si="9"/>
        <v>232949.5</v>
      </c>
      <c r="I42" s="116">
        <v>465899</v>
      </c>
      <c r="J42" s="123">
        <f t="shared" si="3"/>
        <v>228908.87101928153</v>
      </c>
      <c r="K42" s="130">
        <v>0.22963630835566837</v>
      </c>
      <c r="L42" s="101">
        <f>'# and Assessed Value of Parcels'!G37/'# and Assessed Value of Parcels'!O37</f>
        <v>0.96962008847254744</v>
      </c>
      <c r="M42" s="101">
        <f>'# and Assessed Value of Parcels'!H37/'# and Assessed Value of Parcels'!P37</f>
        <v>0.74155473878526956</v>
      </c>
      <c r="N42" s="101">
        <f t="shared" si="4"/>
        <v>0.85558741362890856</v>
      </c>
      <c r="O42" s="102">
        <f>'Tax Levies and EQ Tax Rates'!I37</f>
        <v>22005035.620000001</v>
      </c>
      <c r="P42" s="102">
        <f t="shared" si="5"/>
        <v>18827231.512927808</v>
      </c>
      <c r="Q42" s="103">
        <v>45977</v>
      </c>
      <c r="R42" s="119">
        <f t="shared" si="6"/>
        <v>409.49238777927678</v>
      </c>
    </row>
    <row r="43" spans="1:18" ht="15.75" customHeight="1" x14ac:dyDescent="0.25">
      <c r="A43" s="95" t="s">
        <v>45</v>
      </c>
      <c r="B43" s="96" t="s">
        <v>46</v>
      </c>
      <c r="C43" s="97">
        <f t="shared" si="0"/>
        <v>729.90250962247933</v>
      </c>
      <c r="D43" s="99">
        <f t="shared" si="1"/>
        <v>199382.74456235801</v>
      </c>
      <c r="E43" s="18">
        <f t="shared" si="7"/>
        <v>70817.25</v>
      </c>
      <c r="F43" s="115">
        <v>141634.5</v>
      </c>
      <c r="G43" s="123">
        <f t="shared" si="2"/>
        <v>-57748.244562358013</v>
      </c>
      <c r="H43" s="123">
        <f t="shared" si="9"/>
        <v>184742</v>
      </c>
      <c r="I43" s="116">
        <v>369484</v>
      </c>
      <c r="J43" s="123">
        <f t="shared" si="3"/>
        <v>170101.25543764199</v>
      </c>
      <c r="K43" s="130">
        <v>0.36608108250521071</v>
      </c>
      <c r="L43" s="101">
        <f>'# and Assessed Value of Parcels'!G38/'# and Assessed Value of Parcels'!O38</f>
        <v>0.966461229754909</v>
      </c>
      <c r="M43" s="101">
        <f>'# and Assessed Value of Parcels'!H38/'# and Assessed Value of Parcels'!P38</f>
        <v>0.74002784885113326</v>
      </c>
      <c r="N43" s="101">
        <f t="shared" si="4"/>
        <v>0.85324453930302113</v>
      </c>
      <c r="O43" s="102">
        <f>'Tax Levies and EQ Tax Rates'!I38</f>
        <v>44004169</v>
      </c>
      <c r="P43" s="102">
        <f t="shared" si="5"/>
        <v>37546316.905817285</v>
      </c>
      <c r="Q43" s="103">
        <v>68364</v>
      </c>
      <c r="R43" s="119">
        <f t="shared" si="6"/>
        <v>549.21182063391973</v>
      </c>
    </row>
    <row r="44" spans="1:18" ht="15.75" customHeight="1" x14ac:dyDescent="0.25">
      <c r="A44" s="95" t="s">
        <v>45</v>
      </c>
      <c r="B44" s="96" t="s">
        <v>47</v>
      </c>
      <c r="C44" s="97">
        <f t="shared" si="0"/>
        <v>1050.7668574959023</v>
      </c>
      <c r="D44" s="99">
        <f t="shared" si="1"/>
        <v>105167.26622936632</v>
      </c>
      <c r="E44" s="18">
        <f t="shared" si="7"/>
        <v>97261.466257668711</v>
      </c>
      <c r="F44" s="115">
        <v>194522.93251533742</v>
      </c>
      <c r="G44" s="123">
        <f t="shared" si="2"/>
        <v>89355.666285971107</v>
      </c>
      <c r="H44" s="123">
        <f t="shared" si="9"/>
        <v>126652</v>
      </c>
      <c r="I44" s="116">
        <v>253304</v>
      </c>
      <c r="J44" s="123">
        <f t="shared" si="3"/>
        <v>148136.7337706337</v>
      </c>
      <c r="K44" s="130">
        <v>0.99913870082370937</v>
      </c>
      <c r="L44" s="101">
        <f>'# and Assessed Value of Parcels'!G39/'# and Assessed Value of Parcels'!O39</f>
        <v>0.95111773472429206</v>
      </c>
      <c r="M44" s="101">
        <f>'# and Assessed Value of Parcels'!H39/'# and Assessed Value of Parcels'!P39</f>
        <v>0.86385134818830744</v>
      </c>
      <c r="N44" s="101">
        <f t="shared" si="4"/>
        <v>0.90748454145629975</v>
      </c>
      <c r="O44" s="102">
        <f>'Tax Levies and EQ Tax Rates'!I39</f>
        <v>9542787.1500000004</v>
      </c>
      <c r="P44" s="102">
        <f t="shared" si="5"/>
        <v>8659931.8210328203</v>
      </c>
      <c r="Q44" s="103">
        <v>10953</v>
      </c>
      <c r="R44" s="119">
        <f t="shared" si="6"/>
        <v>790.64473852212359</v>
      </c>
    </row>
    <row r="45" spans="1:18" ht="15.75" customHeight="1" x14ac:dyDescent="0.25">
      <c r="A45" s="95" t="s">
        <v>48</v>
      </c>
      <c r="B45" s="96" t="s">
        <v>49</v>
      </c>
      <c r="C45" s="97">
        <f t="shared" si="0"/>
        <v>1367.778495711764</v>
      </c>
      <c r="D45" s="99">
        <f t="shared" si="1"/>
        <v>147617.1766128981</v>
      </c>
      <c r="E45" s="18">
        <f t="shared" si="7"/>
        <v>104337.86</v>
      </c>
      <c r="F45" s="115">
        <v>208675.72</v>
      </c>
      <c r="G45" s="123">
        <f t="shared" si="2"/>
        <v>61058.543387101905</v>
      </c>
      <c r="H45" s="123">
        <f t="shared" si="9"/>
        <v>163337</v>
      </c>
      <c r="I45" s="116">
        <v>326674</v>
      </c>
      <c r="J45" s="123">
        <f t="shared" si="3"/>
        <v>179056.8233871019</v>
      </c>
      <c r="K45" s="130">
        <v>0.92657137000969703</v>
      </c>
      <c r="L45" s="101">
        <f>'# and Assessed Value of Parcels'!G40/'# and Assessed Value of Parcels'!O40</f>
        <v>0.90298507462686572</v>
      </c>
      <c r="M45" s="101">
        <f>'# and Assessed Value of Parcels'!H40/'# and Assessed Value of Parcels'!P40</f>
        <v>0.53546516271707922</v>
      </c>
      <c r="N45" s="101">
        <f t="shared" si="4"/>
        <v>0.71922511867197247</v>
      </c>
      <c r="O45" s="102">
        <f>'Tax Levies and EQ Tax Rates'!I40</f>
        <v>62587105.100000001</v>
      </c>
      <c r="P45" s="102">
        <f t="shared" si="5"/>
        <v>45014218.092882715</v>
      </c>
      <c r="Q45" s="103">
        <v>43738</v>
      </c>
      <c r="R45" s="119">
        <f t="shared" si="6"/>
        <v>1029.1787025671663</v>
      </c>
    </row>
    <row r="46" spans="1:18" ht="15.75" customHeight="1" x14ac:dyDescent="0.25">
      <c r="A46" s="95" t="s">
        <v>48</v>
      </c>
      <c r="B46" s="96" t="s">
        <v>50</v>
      </c>
      <c r="C46" s="97">
        <f t="shared" si="0"/>
        <v>1470.9452216980221</v>
      </c>
      <c r="D46" s="99">
        <f t="shared" si="1"/>
        <v>110271.04673364758</v>
      </c>
      <c r="E46" s="18">
        <f t="shared" si="7"/>
        <v>132152.2794117647</v>
      </c>
      <c r="F46" s="115">
        <v>264304.5588235294</v>
      </c>
      <c r="G46" s="123">
        <f t="shared" si="2"/>
        <v>154033.51208988181</v>
      </c>
      <c r="H46" s="123">
        <f t="shared" si="9"/>
        <v>135807.5</v>
      </c>
      <c r="I46" s="116">
        <v>271615</v>
      </c>
      <c r="J46" s="123">
        <f t="shared" si="3"/>
        <v>161343.95326635242</v>
      </c>
      <c r="K46" s="130">
        <v>1.3339360287845938</v>
      </c>
      <c r="L46" s="101">
        <f>'# and Assessed Value of Parcels'!G41/'# and Assessed Value of Parcels'!O41</f>
        <v>0.94367816091954027</v>
      </c>
      <c r="M46" s="101">
        <f>'# and Assessed Value of Parcels'!H41/'# and Assessed Value of Parcels'!P41</f>
        <v>0.73460247640646714</v>
      </c>
      <c r="N46" s="101">
        <f t="shared" si="4"/>
        <v>0.83914031866300376</v>
      </c>
      <c r="O46" s="102">
        <f>'Tax Levies and EQ Tax Rates'!I41</f>
        <v>38983658</v>
      </c>
      <c r="P46" s="102">
        <f t="shared" si="5"/>
        <v>32712759.196769554</v>
      </c>
      <c r="Q46" s="103">
        <v>29556</v>
      </c>
      <c r="R46" s="119">
        <f t="shared" si="6"/>
        <v>1106.8060358901596</v>
      </c>
    </row>
    <row r="47" spans="1:18" ht="15.75" customHeight="1" x14ac:dyDescent="0.25">
      <c r="A47" s="105" t="s">
        <v>76</v>
      </c>
      <c r="B47" s="106" t="s">
        <v>77</v>
      </c>
      <c r="C47" s="107">
        <f t="shared" si="0"/>
        <v>599.2520991384232</v>
      </c>
      <c r="D47" s="109">
        <f t="shared" si="1"/>
        <v>208855.26465255258</v>
      </c>
      <c r="E47" s="18">
        <f t="shared" si="7"/>
        <v>57089.602272727272</v>
      </c>
      <c r="F47" s="147">
        <v>114179.20454545454</v>
      </c>
      <c r="G47" s="124">
        <f t="shared" si="2"/>
        <v>-94676.060107098034</v>
      </c>
      <c r="H47" s="123">
        <f t="shared" si="9"/>
        <v>120092.5</v>
      </c>
      <c r="I47" s="116">
        <v>240185</v>
      </c>
      <c r="J47" s="124">
        <f t="shared" si="3"/>
        <v>31329.735347447422</v>
      </c>
      <c r="K47" s="132">
        <v>0.28692218993633078</v>
      </c>
      <c r="L47" s="111">
        <f>'# and Assessed Value of Parcels'!G42/'# and Assessed Value of Parcels'!O42</f>
        <v>0.95134061569016881</v>
      </c>
      <c r="M47" s="111">
        <f>'# and Assessed Value of Parcels'!H42/'# and Assessed Value of Parcels'!P42</f>
        <v>0.44542234351045923</v>
      </c>
      <c r="N47" s="111">
        <f t="shared" si="4"/>
        <v>0.69838147960031405</v>
      </c>
      <c r="O47" s="112">
        <f>'Tax Levies and EQ Tax Rates'!I42</f>
        <v>1616042.28</v>
      </c>
      <c r="P47" s="112">
        <f t="shared" si="5"/>
        <v>1128613.998603065</v>
      </c>
      <c r="Q47" s="113">
        <v>2503</v>
      </c>
      <c r="R47" s="122">
        <f t="shared" si="6"/>
        <v>450.90451402439675</v>
      </c>
    </row>
    <row r="48" spans="1:18" ht="15.75" customHeight="1" x14ac:dyDescent="0.25">
      <c r="C48" s="116">
        <f>AVERAGE(C10:C47)</f>
        <v>1070.1393110652177</v>
      </c>
      <c r="D48" s="116">
        <f t="shared" ref="D48:R48" si="10">AVERAGE(D10:D47)</f>
        <v>173468.77637103852</v>
      </c>
      <c r="E48" s="116">
        <f t="shared" si="10"/>
        <v>124266.76565838463</v>
      </c>
      <c r="F48" s="152">
        <f t="shared" si="10"/>
        <v>248533.53131676925</v>
      </c>
      <c r="G48" s="116">
        <f t="shared" si="10"/>
        <v>75064.754945730689</v>
      </c>
      <c r="H48" s="116">
        <f t="shared" si="10"/>
        <v>172507.67688949048</v>
      </c>
      <c r="I48" s="116">
        <f t="shared" si="10"/>
        <v>345015.35377898096</v>
      </c>
      <c r="J48" s="116">
        <f t="shared" si="10"/>
        <v>171546.57740794244</v>
      </c>
      <c r="K48" s="146">
        <f t="shared" si="10"/>
        <v>0.77531690390378416</v>
      </c>
      <c r="L48" s="149">
        <f t="shared" si="10"/>
        <v>0.94289015605878534</v>
      </c>
      <c r="M48" s="149">
        <f t="shared" si="10"/>
        <v>0.80603558289215715</v>
      </c>
      <c r="N48" s="149">
        <f t="shared" si="10"/>
        <v>0.87446286947547125</v>
      </c>
      <c r="O48" s="150">
        <f t="shared" si="10"/>
        <v>31129966.096578944</v>
      </c>
      <c r="P48" s="116">
        <f t="shared" si="10"/>
        <v>25171474.147470411</v>
      </c>
      <c r="Q48" s="153">
        <f t="shared" si="10"/>
        <v>35254.131578947367</v>
      </c>
      <c r="R48" s="116">
        <f t="shared" si="10"/>
        <v>805.22145302123226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A8:B8"/>
    <mergeCell ref="C8:D8"/>
    <mergeCell ref="K8:R8"/>
    <mergeCell ref="E8:J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4A52-07F4-407A-9357-B0D5B42C5921}">
  <dimension ref="A1:AB1000"/>
  <sheetViews>
    <sheetView topLeftCell="B1" workbookViewId="0">
      <selection activeCell="E6" sqref="E6"/>
    </sheetView>
  </sheetViews>
  <sheetFormatPr defaultColWidth="14.42578125" defaultRowHeight="15" x14ac:dyDescent="0.25"/>
  <cols>
    <col min="1" max="2" width="20.85546875" customWidth="1"/>
    <col min="3" max="19" width="15.85546875" customWidth="1"/>
    <col min="20" max="28" width="11.42578125" customWidth="1"/>
  </cols>
  <sheetData>
    <row r="1" spans="1:28" x14ac:dyDescent="0.25">
      <c r="A1" s="1" t="s">
        <v>199</v>
      </c>
    </row>
    <row r="3" spans="1:28" x14ac:dyDescent="0.25">
      <c r="A3" s="219" t="s">
        <v>203</v>
      </c>
      <c r="B3" s="209"/>
    </row>
    <row r="4" spans="1:28" x14ac:dyDescent="0.25">
      <c r="A4" s="2" t="s">
        <v>0</v>
      </c>
      <c r="B4" s="3" t="s">
        <v>1</v>
      </c>
    </row>
    <row r="5" spans="1:28" x14ac:dyDescent="0.25">
      <c r="A5" s="4" t="s">
        <v>2</v>
      </c>
      <c r="B5" s="5">
        <v>1.821</v>
      </c>
    </row>
    <row r="6" spans="1:28" ht="15.75" thickBot="1" x14ac:dyDescent="0.3">
      <c r="A6" s="6" t="s">
        <v>3</v>
      </c>
      <c r="B6" s="7">
        <v>0.13600000000000001</v>
      </c>
    </row>
    <row r="7" spans="1:28" ht="15.75" thickBot="1" x14ac:dyDescent="0.3">
      <c r="A7" s="8"/>
      <c r="B7" s="8"/>
    </row>
    <row r="8" spans="1:28" ht="31.5" customHeight="1" x14ac:dyDescent="0.25">
      <c r="A8" s="220" t="s">
        <v>4</v>
      </c>
      <c r="B8" s="209"/>
      <c r="C8" s="220" t="s">
        <v>204</v>
      </c>
      <c r="D8" s="221"/>
      <c r="E8" s="221"/>
      <c r="F8" s="209"/>
      <c r="G8" s="145"/>
      <c r="H8" s="220" t="s">
        <v>6</v>
      </c>
      <c r="I8" s="221"/>
      <c r="J8" s="221"/>
      <c r="K8" s="221"/>
      <c r="L8" s="209"/>
      <c r="M8" s="220" t="s">
        <v>7</v>
      </c>
      <c r="N8" s="221"/>
      <c r="O8" s="221"/>
      <c r="P8" s="221"/>
      <c r="Q8" s="221"/>
      <c r="R8" s="221"/>
      <c r="S8" s="221"/>
      <c r="T8" s="221"/>
      <c r="U8" s="221"/>
      <c r="V8" s="221"/>
      <c r="W8" s="209"/>
    </row>
    <row r="9" spans="1:28" ht="64.5" customHeight="1" thickBot="1" x14ac:dyDescent="0.3">
      <c r="A9" s="93" t="s">
        <v>8</v>
      </c>
      <c r="B9" s="10" t="s">
        <v>9</v>
      </c>
      <c r="C9" s="11" t="s">
        <v>10</v>
      </c>
      <c r="D9" s="12" t="s">
        <v>11</v>
      </c>
      <c r="E9" s="12" t="s">
        <v>12</v>
      </c>
      <c r="F9" s="16" t="s">
        <v>13</v>
      </c>
      <c r="G9" s="13" t="s">
        <v>202</v>
      </c>
      <c r="H9" s="13" t="s">
        <v>191</v>
      </c>
      <c r="I9" s="94" t="s">
        <v>192</v>
      </c>
      <c r="J9" s="14" t="s">
        <v>201</v>
      </c>
      <c r="K9" s="14" t="s">
        <v>193</v>
      </c>
      <c r="L9" s="15" t="s">
        <v>194</v>
      </c>
      <c r="M9" s="11" t="s">
        <v>14</v>
      </c>
      <c r="N9" s="12" t="s">
        <v>15</v>
      </c>
      <c r="O9" s="12" t="s">
        <v>16</v>
      </c>
      <c r="P9" s="12" t="s">
        <v>17</v>
      </c>
      <c r="Q9" s="12" t="s">
        <v>18</v>
      </c>
      <c r="R9" s="12" t="s">
        <v>19</v>
      </c>
      <c r="S9" s="14" t="s">
        <v>20</v>
      </c>
      <c r="T9" s="12" t="s">
        <v>21</v>
      </c>
      <c r="U9" s="12" t="s">
        <v>22</v>
      </c>
      <c r="V9" s="12" t="s">
        <v>23</v>
      </c>
      <c r="W9" s="16" t="s">
        <v>24</v>
      </c>
      <c r="X9" s="17"/>
      <c r="Y9" s="17"/>
      <c r="Z9" s="17"/>
      <c r="AA9" s="17"/>
      <c r="AB9" s="17"/>
    </row>
    <row r="10" spans="1:28" ht="15.75" x14ac:dyDescent="0.25">
      <c r="A10" s="95" t="s">
        <v>25</v>
      </c>
      <c r="B10" s="96" t="s">
        <v>26</v>
      </c>
      <c r="C10" s="97">
        <f t="shared" ref="C10:C27" si="0">$B$5*T10</f>
        <v>1736.8935430954421</v>
      </c>
      <c r="D10" s="18">
        <f t="shared" ref="D10:D27" si="1">W10*$B$6</f>
        <v>316.23731745304627</v>
      </c>
      <c r="E10" s="18">
        <f t="shared" ref="E10:E27" si="2">C10+D10</f>
        <v>2053.1308605484883</v>
      </c>
      <c r="F10" s="99">
        <f t="shared" ref="F10:F27" si="3">E10/(M10/100)</f>
        <v>46978.895335158391</v>
      </c>
      <c r="G10" s="18">
        <f>0.8*H10</f>
        <v>48188</v>
      </c>
      <c r="H10" s="98">
        <v>60235</v>
      </c>
      <c r="I10" s="123">
        <f t="shared" ref="I10:I27" si="4">H10-F10</f>
        <v>13256.104664841609</v>
      </c>
      <c r="J10" s="123">
        <f>0.8*K10</f>
        <v>78690.214688348802</v>
      </c>
      <c r="K10" s="18">
        <v>98362.768360435992</v>
      </c>
      <c r="L10" s="123">
        <f t="shared" ref="L10:L27" si="5">K10-F10</f>
        <v>51383.8730252776</v>
      </c>
      <c r="M10" s="100">
        <f>'Tax Levies and EQ Tax Rates'!O5</f>
        <v>4.3703259642462298</v>
      </c>
      <c r="N10" s="101">
        <f>'# and Assessed Value of Parcels'!G5/'# and Assessed Value of Parcels'!O5</f>
        <v>0.92172812725958064</v>
      </c>
      <c r="O10" s="101">
        <f>'# and Assessed Value of Parcels'!H5/'# and Assessed Value of Parcels'!P5</f>
        <v>0.73101366343961027</v>
      </c>
      <c r="P10" s="101">
        <f t="shared" ref="P10:P27" si="6">(N10+O10)/2</f>
        <v>0.8263708953495954</v>
      </c>
      <c r="Q10" s="102">
        <f>'Tax Levies and EQ Tax Rates'!I5</f>
        <v>23810385</v>
      </c>
      <c r="R10" s="102">
        <f t="shared" ref="R10:R27" si="7">P10*Q10</f>
        <v>19676209.171068575</v>
      </c>
      <c r="S10" s="103">
        <v>20629</v>
      </c>
      <c r="T10" s="102">
        <f t="shared" ref="T10:T27" si="8">R10/S10</f>
        <v>953.81303849282926</v>
      </c>
      <c r="U10" s="102">
        <f>'Tax Levies and EQ Tax Rates'!C5</f>
        <v>10152148</v>
      </c>
      <c r="V10" s="103">
        <v>4366</v>
      </c>
      <c r="W10" s="104">
        <f t="shared" ref="W10:W27" si="9">U10/V10</f>
        <v>2325.2743930371048</v>
      </c>
    </row>
    <row r="11" spans="1:28" ht="15.75" x14ac:dyDescent="0.25">
      <c r="A11" s="95" t="s">
        <v>27</v>
      </c>
      <c r="B11" s="96" t="s">
        <v>28</v>
      </c>
      <c r="C11" s="97">
        <f t="shared" si="0"/>
        <v>1787.5021496524128</v>
      </c>
      <c r="D11" s="18">
        <f t="shared" si="1"/>
        <v>2100.4581980718667</v>
      </c>
      <c r="E11" s="18">
        <f t="shared" si="2"/>
        <v>3887.9603477242795</v>
      </c>
      <c r="F11" s="99">
        <f t="shared" si="3"/>
        <v>153096.47004366573</v>
      </c>
      <c r="G11" s="18">
        <f t="shared" ref="G11:G27" si="10">0.8*H11</f>
        <v>298979.20000000001</v>
      </c>
      <c r="H11" s="98">
        <v>373724</v>
      </c>
      <c r="I11" s="123">
        <f t="shared" si="4"/>
        <v>220627.52995633427</v>
      </c>
      <c r="J11" s="123">
        <f t="shared" ref="J11:J27" si="11">0.8*K11</f>
        <v>341510.47200000007</v>
      </c>
      <c r="K11" s="18">
        <v>426888.09</v>
      </c>
      <c r="L11" s="123">
        <f t="shared" si="5"/>
        <v>273791.6199563343</v>
      </c>
      <c r="M11" s="100">
        <f>'Tax Levies and EQ Tax Rates'!O7</f>
        <v>2.5395493094095287</v>
      </c>
      <c r="N11" s="101">
        <f>'# and Assessed Value of Parcels'!G7/'# and Assessed Value of Parcels'!O7</f>
        <v>0.98144233027953953</v>
      </c>
      <c r="O11" s="101">
        <f>'# and Assessed Value of Parcels'!H7/'# and Assessed Value of Parcels'!P7</f>
        <v>0.94433258765869066</v>
      </c>
      <c r="P11" s="101">
        <f t="shared" si="6"/>
        <v>0.9628874589691151</v>
      </c>
      <c r="Q11" s="102">
        <f>'Tax Levies and EQ Tax Rates'!I7</f>
        <v>17251960.34</v>
      </c>
      <c r="R11" s="102">
        <f t="shared" si="7"/>
        <v>16611696.254018551</v>
      </c>
      <c r="S11" s="103">
        <v>16923</v>
      </c>
      <c r="T11" s="102">
        <f t="shared" si="8"/>
        <v>981.60469503152819</v>
      </c>
      <c r="U11" s="102">
        <f>'Tax Levies and EQ Tax Rates'!C7</f>
        <v>35244453</v>
      </c>
      <c r="V11" s="103">
        <v>2282</v>
      </c>
      <c r="W11" s="104">
        <f t="shared" si="9"/>
        <v>15444.545574057844</v>
      </c>
    </row>
    <row r="12" spans="1:28" ht="15.75" x14ac:dyDescent="0.25">
      <c r="A12" s="95" t="s">
        <v>29</v>
      </c>
      <c r="B12" s="96" t="s">
        <v>30</v>
      </c>
      <c r="C12" s="97">
        <f t="shared" si="0"/>
        <v>1021.0983459288979</v>
      </c>
      <c r="D12" s="18">
        <f t="shared" si="1"/>
        <v>307.16663280951195</v>
      </c>
      <c r="E12" s="18">
        <f t="shared" si="2"/>
        <v>1328.2649787384098</v>
      </c>
      <c r="F12" s="99">
        <f t="shared" si="3"/>
        <v>50202.163394973104</v>
      </c>
      <c r="G12" s="18">
        <f t="shared" si="10"/>
        <v>131623.73333333334</v>
      </c>
      <c r="H12" s="98">
        <v>164529.66666666666</v>
      </c>
      <c r="I12" s="123">
        <f t="shared" si="4"/>
        <v>114327.50327169355</v>
      </c>
      <c r="J12" s="123">
        <f t="shared" si="11"/>
        <v>165468.016</v>
      </c>
      <c r="K12" s="18">
        <v>206835.02</v>
      </c>
      <c r="L12" s="123">
        <f t="shared" si="5"/>
        <v>156632.85660502687</v>
      </c>
      <c r="M12" s="100">
        <f>'Tax Levies and EQ Tax Rates'!O18</f>
        <v>2.6458321492802699</v>
      </c>
      <c r="N12" s="101">
        <f>'# and Assessed Value of Parcels'!G18/'# and Assessed Value of Parcels'!O18</f>
        <v>0.84162883700821445</v>
      </c>
      <c r="O12" s="101">
        <f>'# and Assessed Value of Parcels'!H18/'# and Assessed Value of Parcels'!P18</f>
        <v>0.54365223337971258</v>
      </c>
      <c r="P12" s="101">
        <f t="shared" si="6"/>
        <v>0.69264053519396351</v>
      </c>
      <c r="Q12" s="102">
        <f>'Tax Levies and EQ Tax Rates'!I18</f>
        <v>252218004</v>
      </c>
      <c r="R12" s="102">
        <f t="shared" si="7"/>
        <v>174696413.27611324</v>
      </c>
      <c r="S12" s="103">
        <v>311549</v>
      </c>
      <c r="T12" s="102">
        <f t="shared" si="8"/>
        <v>560.73495108670943</v>
      </c>
      <c r="U12" s="102">
        <f>'Tax Levies and EQ Tax Rates'!C18</f>
        <v>135819599</v>
      </c>
      <c r="V12" s="103">
        <v>60135</v>
      </c>
      <c r="W12" s="104">
        <f t="shared" si="9"/>
        <v>2258.578182422882</v>
      </c>
    </row>
    <row r="13" spans="1:28" ht="15.75" x14ac:dyDescent="0.25">
      <c r="A13" s="95" t="s">
        <v>31</v>
      </c>
      <c r="B13" s="96" t="s">
        <v>32</v>
      </c>
      <c r="C13" s="97">
        <f t="shared" si="0"/>
        <v>1434.1497262043085</v>
      </c>
      <c r="D13" s="18">
        <f t="shared" si="1"/>
        <v>2223.9669175074187</v>
      </c>
      <c r="E13" s="18">
        <f t="shared" si="2"/>
        <v>3658.1166437117272</v>
      </c>
      <c r="F13" s="99">
        <f t="shared" si="3"/>
        <v>153814.68450988492</v>
      </c>
      <c r="G13" s="18">
        <f t="shared" si="10"/>
        <v>182548.66666666669</v>
      </c>
      <c r="H13" s="98">
        <v>228185.83333333334</v>
      </c>
      <c r="I13" s="123">
        <f t="shared" si="4"/>
        <v>74371.148823448428</v>
      </c>
      <c r="J13" s="123">
        <f t="shared" si="11"/>
        <v>304249.98900445754</v>
      </c>
      <c r="K13" s="18">
        <v>380312.48625557189</v>
      </c>
      <c r="L13" s="123">
        <f t="shared" si="5"/>
        <v>226497.80174568697</v>
      </c>
      <c r="M13" s="100">
        <f>'Tax Levies and EQ Tax Rates'!O20</f>
        <v>2.3782622935956663</v>
      </c>
      <c r="N13" s="101">
        <f>'# and Assessed Value of Parcels'!G20/'# and Assessed Value of Parcels'!O20</f>
        <v>0.95667524385135538</v>
      </c>
      <c r="O13" s="101">
        <f>'# and Assessed Value of Parcels'!H20/'# and Assessed Value of Parcels'!P20</f>
        <v>0.81220548036186702</v>
      </c>
      <c r="P13" s="101">
        <f t="shared" si="6"/>
        <v>0.88444036210661126</v>
      </c>
      <c r="Q13" s="102">
        <f>'Tax Levies and EQ Tax Rates'!I20</f>
        <v>44269379.890000001</v>
      </c>
      <c r="R13" s="102">
        <f t="shared" si="7"/>
        <v>39153626.380146734</v>
      </c>
      <c r="S13" s="103">
        <v>49715</v>
      </c>
      <c r="T13" s="102">
        <f t="shared" si="8"/>
        <v>787.561628887594</v>
      </c>
      <c r="U13" s="102">
        <f>'Tax Levies and EQ Tax Rates'!C20</f>
        <v>137771480</v>
      </c>
      <c r="V13" s="103">
        <v>8425</v>
      </c>
      <c r="W13" s="104">
        <f t="shared" si="9"/>
        <v>16352.697922848665</v>
      </c>
    </row>
    <row r="14" spans="1:28" ht="15.75" x14ac:dyDescent="0.25">
      <c r="A14" s="95" t="s">
        <v>31</v>
      </c>
      <c r="B14" s="96" t="s">
        <v>33</v>
      </c>
      <c r="C14" s="97">
        <f t="shared" si="0"/>
        <v>957.08469558144384</v>
      </c>
      <c r="D14" s="18">
        <f t="shared" si="1"/>
        <v>1796.0836292441143</v>
      </c>
      <c r="E14" s="18">
        <f t="shared" si="2"/>
        <v>2753.1683248255581</v>
      </c>
      <c r="F14" s="99">
        <f t="shared" si="3"/>
        <v>163358.61043762683</v>
      </c>
      <c r="G14" s="18">
        <f t="shared" si="10"/>
        <v>104904.57142857143</v>
      </c>
      <c r="H14" s="98">
        <v>131130.71428571429</v>
      </c>
      <c r="I14" s="123">
        <f t="shared" si="4"/>
        <v>-32227.896151912544</v>
      </c>
      <c r="J14" s="123">
        <f t="shared" si="11"/>
        <v>300420.04272798798</v>
      </c>
      <c r="K14" s="18">
        <v>375525.05340998498</v>
      </c>
      <c r="L14" s="123">
        <f t="shared" si="5"/>
        <v>212166.44297235814</v>
      </c>
      <c r="M14" s="100">
        <f>'Tax Levies and EQ Tax Rates'!O21</f>
        <v>1.6853524386930101</v>
      </c>
      <c r="N14" s="101">
        <f>'# and Assessed Value of Parcels'!G21/'# and Assessed Value of Parcels'!O21</f>
        <v>0.97122792306482886</v>
      </c>
      <c r="O14" s="101">
        <f>'# and Assessed Value of Parcels'!H21/'# and Assessed Value of Parcels'!P21</f>
        <v>0.88589383044965919</v>
      </c>
      <c r="P14" s="101">
        <f t="shared" si="6"/>
        <v>0.92856087675724397</v>
      </c>
      <c r="Q14" s="102">
        <f>'Tax Levies and EQ Tax Rates'!I21</f>
        <v>37853002.5</v>
      </c>
      <c r="R14" s="102">
        <f t="shared" si="7"/>
        <v>35148817.189294145</v>
      </c>
      <c r="S14" s="103">
        <v>66876</v>
      </c>
      <c r="T14" s="102">
        <f t="shared" si="8"/>
        <v>525.58193057739913</v>
      </c>
      <c r="U14" s="102">
        <f>'Tax Levies and EQ Tax Rates'!C21</f>
        <v>106576433</v>
      </c>
      <c r="V14" s="103">
        <v>8070</v>
      </c>
      <c r="W14" s="104">
        <f t="shared" si="9"/>
        <v>13206.49727385378</v>
      </c>
    </row>
    <row r="15" spans="1:28" ht="15.75" x14ac:dyDescent="0.25">
      <c r="A15" s="95" t="s">
        <v>31</v>
      </c>
      <c r="B15" s="96" t="s">
        <v>34</v>
      </c>
      <c r="C15" s="97">
        <f t="shared" si="0"/>
        <v>1512.5602107371624</v>
      </c>
      <c r="D15" s="18">
        <f t="shared" si="1"/>
        <v>1763.4190210887691</v>
      </c>
      <c r="E15" s="18">
        <f t="shared" si="2"/>
        <v>3275.9792318259315</v>
      </c>
      <c r="F15" s="99">
        <f t="shared" si="3"/>
        <v>138968.57304477997</v>
      </c>
      <c r="G15" s="18">
        <f t="shared" si="10"/>
        <v>244863.85</v>
      </c>
      <c r="H15" s="98">
        <v>306079.8125</v>
      </c>
      <c r="I15" s="123">
        <f t="shared" si="4"/>
        <v>167111.23945522003</v>
      </c>
      <c r="J15" s="123">
        <f t="shared" si="11"/>
        <v>259906.2716841558</v>
      </c>
      <c r="K15" s="18">
        <v>324882.83960519475</v>
      </c>
      <c r="L15" s="123">
        <f t="shared" si="5"/>
        <v>185914.26656041478</v>
      </c>
      <c r="M15" s="100">
        <f>'Tax Levies and EQ Tax Rates'!O22</f>
        <v>2.357352572635476</v>
      </c>
      <c r="N15" s="101">
        <f>'# and Assessed Value of Parcels'!G22/'# and Assessed Value of Parcels'!O22</f>
        <v>0.92460317460317465</v>
      </c>
      <c r="O15" s="101">
        <f>'# and Assessed Value of Parcels'!H22/'# and Assessed Value of Parcels'!P22</f>
        <v>0.82398227250676292</v>
      </c>
      <c r="P15" s="101">
        <f t="shared" si="6"/>
        <v>0.87429272355496879</v>
      </c>
      <c r="Q15" s="102">
        <f>'Tax Levies and EQ Tax Rates'!I22</f>
        <v>13904912.58</v>
      </c>
      <c r="R15" s="102">
        <f t="shared" si="7"/>
        <v>12156963.890361948</v>
      </c>
      <c r="S15" s="103">
        <v>14636</v>
      </c>
      <c r="T15" s="102">
        <f t="shared" si="8"/>
        <v>830.62065389190684</v>
      </c>
      <c r="U15" s="102">
        <f>'Tax Levies and EQ Tax Rates'!C22</f>
        <v>26438319</v>
      </c>
      <c r="V15" s="103">
        <v>2039</v>
      </c>
      <c r="W15" s="104">
        <f t="shared" si="9"/>
        <v>12966.316331535067</v>
      </c>
    </row>
    <row r="16" spans="1:28" ht="15.75" x14ac:dyDescent="0.25">
      <c r="A16" s="95" t="s">
        <v>31</v>
      </c>
      <c r="B16" s="96" t="s">
        <v>35</v>
      </c>
      <c r="C16" s="97">
        <f t="shared" si="0"/>
        <v>1294.1837767757877</v>
      </c>
      <c r="D16" s="18">
        <f t="shared" si="1"/>
        <v>1396.9414522370014</v>
      </c>
      <c r="E16" s="18">
        <f t="shared" si="2"/>
        <v>2691.1252290127891</v>
      </c>
      <c r="F16" s="99">
        <f t="shared" si="3"/>
        <v>136650.16348440028</v>
      </c>
      <c r="G16" s="18">
        <f t="shared" si="10"/>
        <v>166940.06400000001</v>
      </c>
      <c r="H16" s="98">
        <v>208675.08</v>
      </c>
      <c r="I16" s="123">
        <f t="shared" si="4"/>
        <v>72024.916515599703</v>
      </c>
      <c r="J16" s="123">
        <f t="shared" si="11"/>
        <v>264763.80867113854</v>
      </c>
      <c r="K16" s="18">
        <v>330954.76083892316</v>
      </c>
      <c r="L16" s="123">
        <f t="shared" si="5"/>
        <v>194304.59735452288</v>
      </c>
      <c r="M16" s="100">
        <f>'Tax Levies and EQ Tax Rates'!O23</f>
        <v>1.9693538305353018</v>
      </c>
      <c r="N16" s="101">
        <f>'# and Assessed Value of Parcels'!G23/'# and Assessed Value of Parcels'!O23</f>
        <v>0.96279666452854396</v>
      </c>
      <c r="O16" s="101">
        <f>'# and Assessed Value of Parcels'!H23/'# and Assessed Value of Parcels'!P23</f>
        <v>0.85286917759426784</v>
      </c>
      <c r="P16" s="101">
        <f t="shared" si="6"/>
        <v>0.9078329210614059</v>
      </c>
      <c r="Q16" s="102">
        <f>'Tax Levies and EQ Tax Rates'!I23</f>
        <v>35498457.659999996</v>
      </c>
      <c r="R16" s="102">
        <f t="shared" si="7"/>
        <v>32226668.510652438</v>
      </c>
      <c r="S16" s="103">
        <v>45345</v>
      </c>
      <c r="T16" s="102">
        <f t="shared" si="8"/>
        <v>710.69949301251381</v>
      </c>
      <c r="U16" s="102">
        <f>'Tax Levies and EQ Tax Rates'!C23</f>
        <v>67957093</v>
      </c>
      <c r="V16" s="103">
        <v>6616</v>
      </c>
      <c r="W16" s="104">
        <f t="shared" si="9"/>
        <v>10271.628325272068</v>
      </c>
    </row>
    <row r="17" spans="1:23" ht="15.75" x14ac:dyDescent="0.25">
      <c r="A17" s="95" t="s">
        <v>31</v>
      </c>
      <c r="B17" s="96" t="s">
        <v>36</v>
      </c>
      <c r="C17" s="97">
        <f t="shared" si="0"/>
        <v>1111.5650102807933</v>
      </c>
      <c r="D17" s="18">
        <f t="shared" si="1"/>
        <v>1014.7753519736842</v>
      </c>
      <c r="E17" s="18">
        <f t="shared" si="2"/>
        <v>2126.3403622544774</v>
      </c>
      <c r="F17" s="99">
        <f t="shared" si="3"/>
        <v>112098.79556316165</v>
      </c>
      <c r="G17" s="18">
        <f t="shared" si="10"/>
        <v>130775.73333333334</v>
      </c>
      <c r="H17" s="98">
        <v>163469.66666666666</v>
      </c>
      <c r="I17" s="123">
        <f t="shared" si="4"/>
        <v>51370.871103505007</v>
      </c>
      <c r="J17" s="123">
        <f t="shared" si="11"/>
        <v>234775.9276524334</v>
      </c>
      <c r="K17" s="18">
        <v>293469.90956554172</v>
      </c>
      <c r="L17" s="123">
        <f t="shared" si="5"/>
        <v>181371.11400238005</v>
      </c>
      <c r="M17" s="100">
        <f>'Tax Levies and EQ Tax Rates'!O24</f>
        <v>1.8968449674879859</v>
      </c>
      <c r="N17" s="101">
        <f>'# and Assessed Value of Parcels'!G24/'# and Assessed Value of Parcels'!O24</f>
        <v>0.95376862401402274</v>
      </c>
      <c r="O17" s="101">
        <f>'# and Assessed Value of Parcels'!H24/'# and Assessed Value of Parcels'!P24</f>
        <v>0.87694473065069911</v>
      </c>
      <c r="P17" s="101">
        <f t="shared" si="6"/>
        <v>0.91535667733236092</v>
      </c>
      <c r="Q17" s="102">
        <f>'Tax Levies and EQ Tax Rates'!I24</f>
        <v>10748447</v>
      </c>
      <c r="R17" s="102">
        <f t="shared" si="7"/>
        <v>9838662.7324029822</v>
      </c>
      <c r="S17" s="103">
        <v>16118</v>
      </c>
      <c r="T17" s="102">
        <f t="shared" si="8"/>
        <v>610.41461300427977</v>
      </c>
      <c r="U17" s="102">
        <f>'Tax Levies and EQ Tax Rates'!C24</f>
        <v>18146571</v>
      </c>
      <c r="V17" s="103">
        <v>2432</v>
      </c>
      <c r="W17" s="104">
        <f t="shared" si="9"/>
        <v>7461.5834703947367</v>
      </c>
    </row>
    <row r="18" spans="1:23" ht="15.75" x14ac:dyDescent="0.25">
      <c r="A18" s="95" t="s">
        <v>31</v>
      </c>
      <c r="B18" s="96" t="s">
        <v>37</v>
      </c>
      <c r="C18" s="97">
        <f t="shared" si="0"/>
        <v>1529.4397952286549</v>
      </c>
      <c r="D18" s="18">
        <f t="shared" si="1"/>
        <v>1804.4320724133129</v>
      </c>
      <c r="E18" s="18">
        <f t="shared" si="2"/>
        <v>3333.8718676419676</v>
      </c>
      <c r="F18" s="99">
        <f t="shared" si="3"/>
        <v>142506.30129676266</v>
      </c>
      <c r="G18" s="18">
        <f t="shared" si="10"/>
        <v>186271.73641618498</v>
      </c>
      <c r="H18" s="98">
        <v>232839.67052023122</v>
      </c>
      <c r="I18" s="123">
        <f t="shared" si="4"/>
        <v>90333.369223468559</v>
      </c>
      <c r="J18" s="123">
        <f t="shared" si="11"/>
        <v>246095.60470224597</v>
      </c>
      <c r="K18" s="18">
        <v>307619.50587780745</v>
      </c>
      <c r="L18" s="123">
        <f t="shared" si="5"/>
        <v>165113.20458104479</v>
      </c>
      <c r="M18" s="100">
        <f>'Tax Levies and EQ Tax Rates'!O25</f>
        <v>2.3394557555032858</v>
      </c>
      <c r="N18" s="101">
        <f>'# and Assessed Value of Parcels'!G25/'# and Assessed Value of Parcels'!O25</f>
        <v>0.95527753810756399</v>
      </c>
      <c r="O18" s="101">
        <f>'# and Assessed Value of Parcels'!H25/'# and Assessed Value of Parcels'!P25</f>
        <v>0.7164271010805654</v>
      </c>
      <c r="P18" s="101">
        <f t="shared" si="6"/>
        <v>0.8358523195940647</v>
      </c>
      <c r="Q18" s="102">
        <f>'Tax Levies and EQ Tax Rates'!I25</f>
        <v>104139647.23</v>
      </c>
      <c r="R18" s="102">
        <f t="shared" si="7"/>
        <v>87045365.698903114</v>
      </c>
      <c r="S18" s="103">
        <v>103639</v>
      </c>
      <c r="T18" s="102">
        <f t="shared" si="8"/>
        <v>839.89005778619162</v>
      </c>
      <c r="U18" s="102">
        <f>'Tax Levies and EQ Tax Rates'!C25</f>
        <v>190553334</v>
      </c>
      <c r="V18" s="103">
        <v>14362</v>
      </c>
      <c r="W18" s="104">
        <f t="shared" si="9"/>
        <v>13267.882885392006</v>
      </c>
    </row>
    <row r="19" spans="1:23" ht="15.75" x14ac:dyDescent="0.25">
      <c r="A19" s="95" t="s">
        <v>38</v>
      </c>
      <c r="B19" s="96" t="s">
        <v>39</v>
      </c>
      <c r="C19" s="97">
        <f t="shared" si="0"/>
        <v>2077.4105748210404</v>
      </c>
      <c r="D19" s="18">
        <f t="shared" si="1"/>
        <v>404.56034606741576</v>
      </c>
      <c r="E19" s="18">
        <f t="shared" si="2"/>
        <v>2481.970920888456</v>
      </c>
      <c r="F19" s="99">
        <f t="shared" si="3"/>
        <v>92018.518555191753</v>
      </c>
      <c r="G19" s="18">
        <f t="shared" si="10"/>
        <v>107775</v>
      </c>
      <c r="H19" s="98">
        <v>134718.75</v>
      </c>
      <c r="I19" s="123">
        <f t="shared" si="4"/>
        <v>42700.231444808247</v>
      </c>
      <c r="J19" s="123">
        <f t="shared" si="11"/>
        <v>147112.88227639234</v>
      </c>
      <c r="K19" s="18">
        <v>183891.10284549042</v>
      </c>
      <c r="L19" s="123">
        <f t="shared" si="5"/>
        <v>91872.584290298662</v>
      </c>
      <c r="M19" s="100">
        <f>'Tax Levies and EQ Tax Rates'!O26</f>
        <v>2.6972515531205774</v>
      </c>
      <c r="N19" s="101">
        <f>'# and Assessed Value of Parcels'!G26/'# and Assessed Value of Parcels'!O26</f>
        <v>0.96441281138790036</v>
      </c>
      <c r="O19" s="101">
        <f>'# and Assessed Value of Parcels'!H26/'# and Assessed Value of Parcels'!P26</f>
        <v>0.88303144331890093</v>
      </c>
      <c r="P19" s="101">
        <f t="shared" si="6"/>
        <v>0.92372212735340065</v>
      </c>
      <c r="Q19" s="102">
        <f>'Tax Levies and EQ Tax Rates'!I26</f>
        <v>12047538.390000001</v>
      </c>
      <c r="R19" s="102">
        <f t="shared" si="7"/>
        <v>11128577.790982563</v>
      </c>
      <c r="S19" s="103">
        <v>9755</v>
      </c>
      <c r="T19" s="102">
        <f t="shared" si="8"/>
        <v>1140.8075644267108</v>
      </c>
      <c r="U19" s="102">
        <f>'Tax Levies and EQ Tax Rates'!C26</f>
        <v>5294981</v>
      </c>
      <c r="V19" s="103">
        <v>1780</v>
      </c>
      <c r="W19" s="104">
        <f t="shared" si="9"/>
        <v>2974.7084269662923</v>
      </c>
    </row>
    <row r="20" spans="1:23" ht="15.75" x14ac:dyDescent="0.25">
      <c r="A20" s="95" t="s">
        <v>38</v>
      </c>
      <c r="B20" s="96" t="s">
        <v>40</v>
      </c>
      <c r="C20" s="97">
        <f t="shared" si="0"/>
        <v>1052.4580172679664</v>
      </c>
      <c r="D20" s="18">
        <f t="shared" si="1"/>
        <v>1859.8076128767686</v>
      </c>
      <c r="E20" s="18">
        <f t="shared" si="2"/>
        <v>2912.265630144735</v>
      </c>
      <c r="F20" s="99">
        <f t="shared" si="3"/>
        <v>179915.12829813725</v>
      </c>
      <c r="G20" s="18">
        <f t="shared" si="10"/>
        <v>233650</v>
      </c>
      <c r="H20" s="98">
        <v>292062.5</v>
      </c>
      <c r="I20" s="123">
        <f t="shared" si="4"/>
        <v>112147.37170186275</v>
      </c>
      <c r="J20" s="123">
        <f t="shared" si="11"/>
        <v>384389.89904081193</v>
      </c>
      <c r="K20" s="18">
        <v>480487.37380101485</v>
      </c>
      <c r="L20" s="123">
        <f t="shared" si="5"/>
        <v>300572.24550287763</v>
      </c>
      <c r="M20" s="100">
        <f>'Tax Levies and EQ Tax Rates'!O27</f>
        <v>1.6186885770488524</v>
      </c>
      <c r="N20" s="101">
        <f>'# and Assessed Value of Parcels'!G27/'# and Assessed Value of Parcels'!O27</f>
        <v>0.97272104180945851</v>
      </c>
      <c r="O20" s="101">
        <f>'# and Assessed Value of Parcels'!H27/'# and Assessed Value of Parcels'!P27</f>
        <v>0.92205750411890763</v>
      </c>
      <c r="P20" s="101">
        <f t="shared" si="6"/>
        <v>0.94738927296418307</v>
      </c>
      <c r="Q20" s="102">
        <f>'Tax Levies and EQ Tax Rates'!I27</f>
        <v>24954149.290000003</v>
      </c>
      <c r="R20" s="102">
        <f t="shared" si="7"/>
        <v>23641293.353292789</v>
      </c>
      <c r="S20" s="103">
        <v>40905</v>
      </c>
      <c r="T20" s="102">
        <f t="shared" si="8"/>
        <v>577.95607757713697</v>
      </c>
      <c r="U20" s="102">
        <f>'Tax Levies and EQ Tax Rates'!C27</f>
        <v>66693248</v>
      </c>
      <c r="V20" s="103">
        <v>4877</v>
      </c>
      <c r="W20" s="104">
        <f t="shared" si="9"/>
        <v>13675.055977035063</v>
      </c>
    </row>
    <row r="21" spans="1:23" ht="15.75" customHeight="1" x14ac:dyDescent="0.25">
      <c r="A21" s="95" t="s">
        <v>41</v>
      </c>
      <c r="B21" s="96" t="s">
        <v>42</v>
      </c>
      <c r="C21" s="97">
        <f t="shared" si="0"/>
        <v>1387.0376376665795</v>
      </c>
      <c r="D21" s="18">
        <f t="shared" si="1"/>
        <v>219.69991810344828</v>
      </c>
      <c r="E21" s="18">
        <f t="shared" si="2"/>
        <v>1606.7375557700277</v>
      </c>
      <c r="F21" s="99">
        <f t="shared" si="3"/>
        <v>62182.270017191375</v>
      </c>
      <c r="G21" s="18">
        <f t="shared" si="10"/>
        <v>102163.296</v>
      </c>
      <c r="H21" s="98">
        <v>127704.12</v>
      </c>
      <c r="I21" s="123">
        <f t="shared" si="4"/>
        <v>65521.849982808621</v>
      </c>
      <c r="J21" s="123">
        <f t="shared" si="11"/>
        <v>207215.66563954449</v>
      </c>
      <c r="K21" s="18">
        <v>259019.58204943058</v>
      </c>
      <c r="L21" s="123">
        <f t="shared" si="5"/>
        <v>196837.31203223922</v>
      </c>
      <c r="M21" s="100">
        <f>'Tax Levies and EQ Tax Rates'!O33</f>
        <v>2.5839158900532531</v>
      </c>
      <c r="N21" s="101">
        <f>'# and Assessed Value of Parcels'!G33/'# and Assessed Value of Parcels'!O33</f>
        <v>0.8215948144603471</v>
      </c>
      <c r="O21" s="101">
        <f>'# and Assessed Value of Parcels'!H33/'# and Assessed Value of Parcels'!P33</f>
        <v>0.65337602486817126</v>
      </c>
      <c r="P21" s="101">
        <f t="shared" si="6"/>
        <v>0.73748541966425918</v>
      </c>
      <c r="Q21" s="102">
        <f>'Tax Levies and EQ Tax Rates'!I33</f>
        <v>164974488.69999999</v>
      </c>
      <c r="R21" s="102">
        <f t="shared" si="7"/>
        <v>121666280.03281608</v>
      </c>
      <c r="S21" s="103">
        <v>159732</v>
      </c>
      <c r="T21" s="102">
        <f t="shared" si="8"/>
        <v>761.69008109092783</v>
      </c>
      <c r="U21" s="102">
        <f>'Tax Levies and EQ Tax Rates'!C33</f>
        <v>50970381</v>
      </c>
      <c r="V21" s="103">
        <v>31552</v>
      </c>
      <c r="W21" s="104">
        <f t="shared" si="9"/>
        <v>1615.4405742900608</v>
      </c>
    </row>
    <row r="22" spans="1:23" ht="15.75" customHeight="1" x14ac:dyDescent="0.25">
      <c r="A22" s="95" t="s">
        <v>41</v>
      </c>
      <c r="B22" s="96" t="s">
        <v>43</v>
      </c>
      <c r="C22" s="97">
        <f t="shared" si="0"/>
        <v>1617.5771048785584</v>
      </c>
      <c r="D22" s="18">
        <f t="shared" si="1"/>
        <v>1802.070916795866</v>
      </c>
      <c r="E22" s="18">
        <f t="shared" si="2"/>
        <v>3419.6480216744244</v>
      </c>
      <c r="F22" s="99">
        <f t="shared" si="3"/>
        <v>119948.20217107862</v>
      </c>
      <c r="G22" s="18">
        <f t="shared" si="10"/>
        <v>222382.41311475413</v>
      </c>
      <c r="H22" s="98">
        <v>277978.01639344264</v>
      </c>
      <c r="I22" s="123">
        <f t="shared" si="4"/>
        <v>158029.81422236402</v>
      </c>
      <c r="J22" s="123">
        <f t="shared" si="11"/>
        <v>237607.77160036692</v>
      </c>
      <c r="K22" s="18">
        <v>297009.71450045862</v>
      </c>
      <c r="L22" s="123">
        <f t="shared" si="5"/>
        <v>177061.51232938</v>
      </c>
      <c r="M22" s="100">
        <f>'Tax Levies and EQ Tax Rates'!O34</f>
        <v>2.8509372877444887</v>
      </c>
      <c r="N22" s="101">
        <f>'# and Assessed Value of Parcels'!G34/'# and Assessed Value of Parcels'!O34</f>
        <v>0.95521999479302266</v>
      </c>
      <c r="O22" s="101">
        <f>'# and Assessed Value of Parcels'!H34/'# and Assessed Value of Parcels'!P34</f>
        <v>0.87552226480698236</v>
      </c>
      <c r="P22" s="101">
        <f t="shared" si="6"/>
        <v>0.91537112980000246</v>
      </c>
      <c r="Q22" s="102">
        <f>'Tax Levies and EQ Tax Rates'!I34</f>
        <v>10797816</v>
      </c>
      <c r="R22" s="102">
        <f t="shared" si="7"/>
        <v>9884009.0312925428</v>
      </c>
      <c r="S22" s="103">
        <v>11127</v>
      </c>
      <c r="T22" s="102">
        <f t="shared" si="8"/>
        <v>888.29055731936216</v>
      </c>
      <c r="U22" s="102">
        <f>'Tax Levies and EQ Tax Rates'!C34</f>
        <v>25639759</v>
      </c>
      <c r="V22" s="103">
        <v>1935</v>
      </c>
      <c r="W22" s="104">
        <f t="shared" si="9"/>
        <v>13250.521447028425</v>
      </c>
    </row>
    <row r="23" spans="1:23" ht="15.75" customHeight="1" x14ac:dyDescent="0.25">
      <c r="A23" s="95" t="s">
        <v>41</v>
      </c>
      <c r="B23" s="96" t="s">
        <v>44</v>
      </c>
      <c r="C23" s="97">
        <f t="shared" si="0"/>
        <v>1828.3590365405366</v>
      </c>
      <c r="D23" s="18">
        <f t="shared" si="1"/>
        <v>2706.5451334264312</v>
      </c>
      <c r="E23" s="18">
        <f t="shared" si="2"/>
        <v>4534.9041699669679</v>
      </c>
      <c r="F23" s="99">
        <f t="shared" si="3"/>
        <v>223256.4077238946</v>
      </c>
      <c r="G23" s="18">
        <f t="shared" si="10"/>
        <v>122655.49948717951</v>
      </c>
      <c r="H23" s="98">
        <v>153319.37435897437</v>
      </c>
      <c r="I23" s="123">
        <f t="shared" si="4"/>
        <v>-69937.033364920237</v>
      </c>
      <c r="J23" s="123">
        <f t="shared" si="11"/>
        <v>382276.90929283504</v>
      </c>
      <c r="K23" s="18">
        <v>477846.1366160438</v>
      </c>
      <c r="L23" s="123">
        <f t="shared" si="5"/>
        <v>254589.7288921492</v>
      </c>
      <c r="M23" s="100">
        <f>'Tax Levies and EQ Tax Rates'!O35</f>
        <v>2.0312537571487619</v>
      </c>
      <c r="N23" s="101">
        <f>'# and Assessed Value of Parcels'!G35/'# and Assessed Value of Parcels'!O35</f>
        <v>0.95973428121904314</v>
      </c>
      <c r="O23" s="101">
        <f>'# and Assessed Value of Parcels'!H35/'# and Assessed Value of Parcels'!P35</f>
        <v>0.74630979334649838</v>
      </c>
      <c r="P23" s="101">
        <f t="shared" si="6"/>
        <v>0.85302203728277082</v>
      </c>
      <c r="Q23" s="102">
        <f>'Tax Levies and EQ Tax Rates'!I35</f>
        <v>64546529</v>
      </c>
      <c r="R23" s="102">
        <f t="shared" si="7"/>
        <v>55059611.667111449</v>
      </c>
      <c r="S23" s="103">
        <v>54838</v>
      </c>
      <c r="T23" s="102">
        <f t="shared" si="8"/>
        <v>1004.0412062276423</v>
      </c>
      <c r="U23" s="102">
        <f>'Tax Levies and EQ Tax Rates'!C35</f>
        <v>156760706</v>
      </c>
      <c r="V23" s="103">
        <v>7877</v>
      </c>
      <c r="W23" s="104">
        <f t="shared" si="9"/>
        <v>19901.067157547288</v>
      </c>
    </row>
    <row r="24" spans="1:23" ht="15.75" customHeight="1" x14ac:dyDescent="0.25">
      <c r="A24" s="95" t="s">
        <v>45</v>
      </c>
      <c r="B24" s="96" t="s">
        <v>46</v>
      </c>
      <c r="C24" s="97">
        <f t="shared" si="0"/>
        <v>1000.1147253743678</v>
      </c>
      <c r="D24" s="18">
        <f t="shared" si="1"/>
        <v>2428.8361035338617</v>
      </c>
      <c r="E24" s="18">
        <f t="shared" si="2"/>
        <v>3428.9508289082296</v>
      </c>
      <c r="F24" s="99">
        <f t="shared" si="3"/>
        <v>211250.83841438519</v>
      </c>
      <c r="G24" s="18">
        <f t="shared" si="10"/>
        <v>113307.6</v>
      </c>
      <c r="H24" s="98">
        <v>141634.5</v>
      </c>
      <c r="I24" s="123">
        <f t="shared" si="4"/>
        <v>-69616.338414385187</v>
      </c>
      <c r="J24" s="123">
        <f t="shared" si="11"/>
        <v>295587.14646805584</v>
      </c>
      <c r="K24" s="18">
        <v>369483.93308506976</v>
      </c>
      <c r="L24" s="123">
        <f t="shared" si="5"/>
        <v>158233.09467068457</v>
      </c>
      <c r="M24" s="100">
        <f>'Tax Levies and EQ Tax Rates'!O38</f>
        <v>1.6231655479549254</v>
      </c>
      <c r="N24" s="101">
        <f>'# and Assessed Value of Parcels'!G38/'# and Assessed Value of Parcels'!O38</f>
        <v>0.966461229754909</v>
      </c>
      <c r="O24" s="101">
        <f>'# and Assessed Value of Parcels'!H38/'# and Assessed Value of Parcels'!P38</f>
        <v>0.74002784885113326</v>
      </c>
      <c r="P24" s="101">
        <f t="shared" si="6"/>
        <v>0.85324453930302113</v>
      </c>
      <c r="Q24" s="102">
        <f>'Tax Levies and EQ Tax Rates'!I38</f>
        <v>44004169</v>
      </c>
      <c r="R24" s="102">
        <f t="shared" si="7"/>
        <v>37546316.905817285</v>
      </c>
      <c r="S24" s="103">
        <v>68364</v>
      </c>
      <c r="T24" s="102">
        <f t="shared" si="8"/>
        <v>549.21182063391973</v>
      </c>
      <c r="U24" s="102">
        <f>'Tax Levies and EQ Tax Rates'!C38</f>
        <v>151105752</v>
      </c>
      <c r="V24" s="103">
        <v>8461</v>
      </c>
      <c r="W24" s="104">
        <f t="shared" si="9"/>
        <v>17859.088996572511</v>
      </c>
    </row>
    <row r="25" spans="1:23" ht="15.75" customHeight="1" x14ac:dyDescent="0.25">
      <c r="A25" s="95" t="s">
        <v>45</v>
      </c>
      <c r="B25" s="96" t="s">
        <v>47</v>
      </c>
      <c r="C25" s="97">
        <f t="shared" si="0"/>
        <v>1439.764068848787</v>
      </c>
      <c r="D25" s="18">
        <f t="shared" si="1"/>
        <v>1287.3144957678358</v>
      </c>
      <c r="E25" s="18">
        <f t="shared" si="2"/>
        <v>2727.0785646166228</v>
      </c>
      <c r="F25" s="99">
        <f t="shared" si="3"/>
        <v>103363.49643383158</v>
      </c>
      <c r="G25" s="18">
        <f t="shared" si="10"/>
        <v>155618.34601226993</v>
      </c>
      <c r="H25" s="98">
        <v>194522.93251533742</v>
      </c>
      <c r="I25" s="123">
        <f t="shared" si="4"/>
        <v>91159.436081505846</v>
      </c>
      <c r="J25" s="123">
        <f t="shared" si="11"/>
        <v>202643.08320677199</v>
      </c>
      <c r="K25" s="18">
        <v>253303.85400846496</v>
      </c>
      <c r="L25" s="123">
        <f t="shared" si="5"/>
        <v>149940.35757463338</v>
      </c>
      <c r="M25" s="100">
        <f>'Tax Levies and EQ Tax Rates'!O39</f>
        <v>2.6383381548653104</v>
      </c>
      <c r="N25" s="101">
        <f>'# and Assessed Value of Parcels'!G39/'# and Assessed Value of Parcels'!O39</f>
        <v>0.95111773472429206</v>
      </c>
      <c r="O25" s="101">
        <f>'# and Assessed Value of Parcels'!H39/'# and Assessed Value of Parcels'!P39</f>
        <v>0.86385134818830744</v>
      </c>
      <c r="P25" s="101">
        <f t="shared" si="6"/>
        <v>0.90748454145629975</v>
      </c>
      <c r="Q25" s="102">
        <f>'Tax Levies and EQ Tax Rates'!I39</f>
        <v>9542787.1500000004</v>
      </c>
      <c r="R25" s="102">
        <f t="shared" si="7"/>
        <v>8659931.8210328203</v>
      </c>
      <c r="S25" s="103">
        <v>10953</v>
      </c>
      <c r="T25" s="102">
        <f t="shared" si="8"/>
        <v>790.64473852212359</v>
      </c>
      <c r="U25" s="102">
        <f>'Tax Levies and EQ Tax Rates'!C39</f>
        <v>15656016</v>
      </c>
      <c r="V25" s="103">
        <v>1654</v>
      </c>
      <c r="W25" s="104">
        <f t="shared" si="9"/>
        <v>9465.5477629987909</v>
      </c>
    </row>
    <row r="26" spans="1:23" ht="15.75" customHeight="1" x14ac:dyDescent="0.25">
      <c r="A26" s="95" t="s">
        <v>48</v>
      </c>
      <c r="B26" s="96" t="s">
        <v>49</v>
      </c>
      <c r="C26" s="97">
        <f t="shared" si="0"/>
        <v>1874.1344173748098</v>
      </c>
      <c r="D26" s="18">
        <f t="shared" si="1"/>
        <v>1946.1367825030379</v>
      </c>
      <c r="E26" s="18">
        <f t="shared" si="2"/>
        <v>3820.2711998778477</v>
      </c>
      <c r="F26" s="99">
        <f t="shared" si="3"/>
        <v>164568.1381814027</v>
      </c>
      <c r="G26" s="18">
        <f t="shared" si="10"/>
        <v>166940.576</v>
      </c>
      <c r="H26" s="98">
        <v>208675.72</v>
      </c>
      <c r="I26" s="123">
        <f t="shared" si="4"/>
        <v>44107.581818597304</v>
      </c>
      <c r="J26" s="123">
        <f t="shared" si="11"/>
        <v>261338.98671648884</v>
      </c>
      <c r="K26" s="18">
        <v>326673.73339561105</v>
      </c>
      <c r="L26" s="123">
        <f t="shared" si="5"/>
        <v>162105.59521420836</v>
      </c>
      <c r="M26" s="100">
        <f>'Tax Levies and EQ Tax Rates'!O40</f>
        <v>2.3213917603338139</v>
      </c>
      <c r="N26" s="101">
        <f>'# and Assessed Value of Parcels'!G40/'# and Assessed Value of Parcels'!O40</f>
        <v>0.90298507462686572</v>
      </c>
      <c r="O26" s="101">
        <f>'# and Assessed Value of Parcels'!H40/'# and Assessed Value of Parcels'!P40</f>
        <v>0.53546516271707922</v>
      </c>
      <c r="P26" s="101">
        <f t="shared" si="6"/>
        <v>0.71922511867197247</v>
      </c>
      <c r="Q26" s="102">
        <f>'Tax Levies and EQ Tax Rates'!I40</f>
        <v>62587105.100000001</v>
      </c>
      <c r="R26" s="102">
        <f t="shared" si="7"/>
        <v>45014218.092882715</v>
      </c>
      <c r="S26" s="103">
        <v>43738</v>
      </c>
      <c r="T26" s="102">
        <f t="shared" si="8"/>
        <v>1029.1787025671663</v>
      </c>
      <c r="U26" s="102">
        <f>'Tax Levies and EQ Tax Rates'!C40</f>
        <v>94215916</v>
      </c>
      <c r="V26" s="103">
        <v>6584</v>
      </c>
      <c r="W26" s="104">
        <f t="shared" si="9"/>
        <v>14309.829283110572</v>
      </c>
    </row>
    <row r="27" spans="1:23" ht="15.75" customHeight="1" x14ac:dyDescent="0.25">
      <c r="A27" s="105" t="s">
        <v>48</v>
      </c>
      <c r="B27" s="106" t="s">
        <v>50</v>
      </c>
      <c r="C27" s="107">
        <f t="shared" si="0"/>
        <v>2015.4937913559806</v>
      </c>
      <c r="D27" s="108">
        <f t="shared" si="1"/>
        <v>1492.3896147144242</v>
      </c>
      <c r="E27" s="108">
        <f t="shared" si="2"/>
        <v>3507.8834060704048</v>
      </c>
      <c r="F27" s="109">
        <f t="shared" si="3"/>
        <v>121571.39794147467</v>
      </c>
      <c r="G27" s="18">
        <f t="shared" si="10"/>
        <v>211443.64705882352</v>
      </c>
      <c r="H27" s="98">
        <v>264304.5588235294</v>
      </c>
      <c r="I27" s="124">
        <f t="shared" si="4"/>
        <v>142733.16088205471</v>
      </c>
      <c r="J27" s="123">
        <f t="shared" si="11"/>
        <v>217291.85933477563</v>
      </c>
      <c r="K27" s="108">
        <v>271614.82416846952</v>
      </c>
      <c r="L27" s="124">
        <f t="shared" si="5"/>
        <v>150043.42622699484</v>
      </c>
      <c r="M27" s="110">
        <f>'Tax Levies and EQ Tax Rates'!O41</f>
        <v>2.885451237271389</v>
      </c>
      <c r="N27" s="111">
        <f>'# and Assessed Value of Parcels'!G41/'# and Assessed Value of Parcels'!O41</f>
        <v>0.94367816091954027</v>
      </c>
      <c r="O27" s="111">
        <f>'# and Assessed Value of Parcels'!H41/'# and Assessed Value of Parcels'!P41</f>
        <v>0.73460247640646714</v>
      </c>
      <c r="P27" s="111">
        <f t="shared" si="6"/>
        <v>0.83914031866300376</v>
      </c>
      <c r="Q27" s="112">
        <f>'Tax Levies and EQ Tax Rates'!I41</f>
        <v>38983658</v>
      </c>
      <c r="R27" s="112">
        <f t="shared" si="7"/>
        <v>32712759.196769554</v>
      </c>
      <c r="S27" s="113">
        <v>29556</v>
      </c>
      <c r="T27" s="112">
        <f t="shared" si="8"/>
        <v>1106.8060358901596</v>
      </c>
      <c r="U27" s="112">
        <f>'Tax Levies and EQ Tax Rates'!C41</f>
        <v>45342308</v>
      </c>
      <c r="V27" s="113">
        <v>4132</v>
      </c>
      <c r="W27" s="114">
        <f t="shared" si="9"/>
        <v>10973.453049370764</v>
      </c>
    </row>
    <row r="28" spans="1:23" ht="15.75" customHeight="1" x14ac:dyDescent="0.25">
      <c r="C28" s="148">
        <f>AVERAGE(C10:C27)</f>
        <v>1482.0459237563075</v>
      </c>
      <c r="D28" s="116">
        <f t="shared" ref="D28:W28" si="12">AVERAGE(D10:D27)</f>
        <v>1492.8245286993229</v>
      </c>
      <c r="E28" s="116">
        <f t="shared" si="12"/>
        <v>2974.8704524556306</v>
      </c>
      <c r="F28" s="116">
        <f t="shared" si="12"/>
        <v>131986.05860261119</v>
      </c>
      <c r="G28" s="116">
        <f t="shared" si="12"/>
        <v>162835.10738061761</v>
      </c>
      <c r="H28" s="116">
        <f t="shared" si="12"/>
        <v>203543.88422577202</v>
      </c>
      <c r="I28" s="116">
        <f t="shared" si="12"/>
        <v>71557.825623160825</v>
      </c>
      <c r="J28" s="116">
        <f t="shared" si="12"/>
        <v>251741.36392815612</v>
      </c>
      <c r="K28" s="116">
        <f t="shared" si="12"/>
        <v>314676.7049101952</v>
      </c>
      <c r="L28" s="116">
        <f t="shared" si="12"/>
        <v>182690.64630758401</v>
      </c>
      <c r="M28" s="146">
        <f t="shared" si="12"/>
        <v>2.4129290581626734</v>
      </c>
      <c r="N28" s="149">
        <f t="shared" si="12"/>
        <v>0.93928186702290029</v>
      </c>
      <c r="O28" s="149">
        <f t="shared" si="12"/>
        <v>0.78564249687468224</v>
      </c>
      <c r="P28" s="149">
        <f t="shared" si="12"/>
        <v>0.86246218194879132</v>
      </c>
      <c r="Q28" s="150">
        <f t="shared" si="12"/>
        <v>54007357.601666659</v>
      </c>
      <c r="R28" s="150">
        <f t="shared" si="12"/>
        <v>42881523.388608858</v>
      </c>
      <c r="S28" s="151">
        <f t="shared" si="12"/>
        <v>59688.777777777781</v>
      </c>
      <c r="T28" s="116">
        <f t="shared" si="12"/>
        <v>813.86376922367242</v>
      </c>
      <c r="U28" s="150">
        <f t="shared" si="12"/>
        <v>74463249.833333328</v>
      </c>
      <c r="V28" s="151">
        <f t="shared" si="12"/>
        <v>9865.5</v>
      </c>
      <c r="W28" s="116">
        <f t="shared" si="12"/>
        <v>10976.65094631855</v>
      </c>
    </row>
    <row r="29" spans="1:23" ht="15.75" customHeight="1" x14ac:dyDescent="0.25"/>
    <row r="30" spans="1:23" ht="15.75" customHeight="1" x14ac:dyDescent="0.25"/>
    <row r="31" spans="1:23" ht="15.75" customHeight="1" x14ac:dyDescent="0.25"/>
    <row r="32" spans="1:2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A8:B8"/>
    <mergeCell ref="C8:F8"/>
    <mergeCell ref="H8:L8"/>
    <mergeCell ref="M8:W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00"/>
  <sheetViews>
    <sheetView topLeftCell="A5" workbookViewId="0"/>
  </sheetViews>
  <sheetFormatPr defaultColWidth="14.42578125" defaultRowHeight="15" customHeight="1" x14ac:dyDescent="0.25"/>
  <cols>
    <col min="1" max="2" width="20.7109375" customWidth="1"/>
    <col min="3" max="12" width="15.7109375" customWidth="1"/>
    <col min="13" max="26" width="8.85546875" customWidth="1"/>
  </cols>
  <sheetData>
    <row r="1" spans="1:12" x14ac:dyDescent="0.25">
      <c r="A1" s="1" t="s">
        <v>97</v>
      </c>
    </row>
    <row r="2" spans="1:12" x14ac:dyDescent="0.25">
      <c r="C2" s="8"/>
    </row>
    <row r="3" spans="1:12" ht="31.5" customHeight="1" x14ac:dyDescent="0.25">
      <c r="A3" s="210" t="s">
        <v>98</v>
      </c>
      <c r="B3" s="211"/>
      <c r="C3" s="228" t="s">
        <v>99</v>
      </c>
      <c r="D3" s="229"/>
      <c r="E3" s="229"/>
      <c r="F3" s="229"/>
      <c r="G3" s="229"/>
      <c r="H3" s="229"/>
      <c r="I3" s="229"/>
      <c r="J3" s="229"/>
      <c r="K3" s="229"/>
      <c r="L3" s="230"/>
    </row>
    <row r="4" spans="1:12" ht="31.5" customHeight="1" x14ac:dyDescent="0.25">
      <c r="A4" s="226"/>
      <c r="B4" s="227"/>
      <c r="C4" s="223" t="s">
        <v>100</v>
      </c>
      <c r="D4" s="221"/>
      <c r="E4" s="209"/>
      <c r="F4" s="223" t="s">
        <v>101</v>
      </c>
      <c r="G4" s="221"/>
      <c r="H4" s="209"/>
      <c r="I4" s="220" t="s">
        <v>102</v>
      </c>
      <c r="J4" s="221"/>
      <c r="K4" s="221"/>
      <c r="L4" s="231" t="s">
        <v>103</v>
      </c>
    </row>
    <row r="5" spans="1:12" ht="64.5" customHeight="1" x14ac:dyDescent="0.25">
      <c r="A5" s="11" t="s">
        <v>8</v>
      </c>
      <c r="B5" s="16" t="s">
        <v>9</v>
      </c>
      <c r="C5" s="12" t="s">
        <v>100</v>
      </c>
      <c r="D5" s="12" t="s">
        <v>104</v>
      </c>
      <c r="E5" s="16" t="s">
        <v>105</v>
      </c>
      <c r="F5" s="12" t="s">
        <v>106</v>
      </c>
      <c r="G5" s="12" t="s">
        <v>107</v>
      </c>
      <c r="H5" s="16" t="s">
        <v>105</v>
      </c>
      <c r="I5" s="12" t="s">
        <v>108</v>
      </c>
      <c r="J5" s="12" t="s">
        <v>109</v>
      </c>
      <c r="K5" s="12" t="s">
        <v>105</v>
      </c>
      <c r="L5" s="232"/>
    </row>
    <row r="6" spans="1:12" ht="16.5" x14ac:dyDescent="0.3">
      <c r="A6" s="20" t="s">
        <v>25</v>
      </c>
      <c r="B6" s="21" t="s">
        <v>26</v>
      </c>
      <c r="C6" s="22">
        <v>499387774.9659335</v>
      </c>
      <c r="D6" s="22">
        <v>54779637.920965552</v>
      </c>
      <c r="E6" s="23">
        <f t="shared" ref="E6:E43" si="0">C6+D6</f>
        <v>554167412.88689899</v>
      </c>
      <c r="F6" s="22">
        <v>144330835.11777303</v>
      </c>
      <c r="G6" s="22">
        <v>59582538.446564153</v>
      </c>
      <c r="H6" s="23">
        <f t="shared" ref="H6:H43" si="1">F6+G6</f>
        <v>203913373.56433719</v>
      </c>
      <c r="I6" s="22">
        <v>19035915.904224258</v>
      </c>
      <c r="J6" s="22">
        <v>0</v>
      </c>
      <c r="K6" s="24">
        <f t="shared" ref="K6:K43" si="2">I6+J6</f>
        <v>19035915.904224258</v>
      </c>
      <c r="L6" s="25">
        <f t="shared" ref="L6:L43" si="3">E6+H6+K6</f>
        <v>777116702.35546052</v>
      </c>
    </row>
    <row r="7" spans="1:12" ht="16.5" x14ac:dyDescent="0.3">
      <c r="A7" s="20" t="s">
        <v>27</v>
      </c>
      <c r="B7" s="21" t="s">
        <v>54</v>
      </c>
      <c r="C7" s="22">
        <v>1734087511.0913932</v>
      </c>
      <c r="D7" s="22">
        <v>7896739.1304347832</v>
      </c>
      <c r="E7" s="26">
        <f t="shared" si="0"/>
        <v>1741984250.221828</v>
      </c>
      <c r="F7" s="22">
        <v>107710625.55456966</v>
      </c>
      <c r="G7" s="22">
        <v>13247670.807453416</v>
      </c>
      <c r="H7" s="26">
        <f t="shared" si="1"/>
        <v>120958296.36202309</v>
      </c>
      <c r="I7" s="22">
        <v>12278393.966282167</v>
      </c>
      <c r="J7" s="22">
        <v>703194.3212067436</v>
      </c>
      <c r="K7" s="22">
        <f t="shared" si="2"/>
        <v>12981588.287488909</v>
      </c>
      <c r="L7" s="25">
        <f t="shared" si="3"/>
        <v>1875924134.87134</v>
      </c>
    </row>
    <row r="8" spans="1:12" ht="16.5" x14ac:dyDescent="0.3">
      <c r="A8" s="20" t="s">
        <v>27</v>
      </c>
      <c r="B8" s="21" t="s">
        <v>28</v>
      </c>
      <c r="C8" s="22">
        <v>1775427552.2117004</v>
      </c>
      <c r="D8" s="22">
        <v>172682189.64846283</v>
      </c>
      <c r="E8" s="26">
        <f t="shared" si="0"/>
        <v>1948109741.8601632</v>
      </c>
      <c r="F8" s="22">
        <v>109789985.73096381</v>
      </c>
      <c r="G8" s="22">
        <v>5049033.5970943049</v>
      </c>
      <c r="H8" s="26">
        <f t="shared" si="1"/>
        <v>114839019.32805812</v>
      </c>
      <c r="I8" s="22">
        <v>3282526.9165909975</v>
      </c>
      <c r="J8" s="22">
        <v>0</v>
      </c>
      <c r="K8" s="22">
        <f t="shared" si="2"/>
        <v>3282526.9165909975</v>
      </c>
      <c r="L8" s="25">
        <f t="shared" si="3"/>
        <v>2066231288.1048124</v>
      </c>
    </row>
    <row r="9" spans="1:12" ht="16.5" x14ac:dyDescent="0.3">
      <c r="A9" s="20" t="s">
        <v>27</v>
      </c>
      <c r="B9" s="21" t="s">
        <v>55</v>
      </c>
      <c r="C9" s="22">
        <v>2191180021.6893601</v>
      </c>
      <c r="D9" s="22">
        <v>514760.8145559706</v>
      </c>
      <c r="E9" s="26">
        <f t="shared" si="0"/>
        <v>2191694782.5039163</v>
      </c>
      <c r="F9" s="22">
        <v>200623259.42884687</v>
      </c>
      <c r="G9" s="22">
        <v>197257259.91083264</v>
      </c>
      <c r="H9" s="26">
        <f t="shared" si="1"/>
        <v>397880519.33967948</v>
      </c>
      <c r="I9" s="22">
        <v>28036630.919387881</v>
      </c>
      <c r="J9" s="22">
        <v>3526689.9626461021</v>
      </c>
      <c r="K9" s="22">
        <f t="shared" si="2"/>
        <v>31563320.882033981</v>
      </c>
      <c r="L9" s="25">
        <f t="shared" si="3"/>
        <v>2621138622.7256293</v>
      </c>
    </row>
    <row r="10" spans="1:12" ht="16.5" x14ac:dyDescent="0.3">
      <c r="A10" s="20" t="s">
        <v>27</v>
      </c>
      <c r="B10" s="21" t="s">
        <v>56</v>
      </c>
      <c r="C10" s="22">
        <v>1427565415.6064463</v>
      </c>
      <c r="D10" s="22">
        <v>183958757.42154369</v>
      </c>
      <c r="E10" s="26">
        <f t="shared" si="0"/>
        <v>1611524173.0279899</v>
      </c>
      <c r="F10" s="22">
        <v>466655746.39525026</v>
      </c>
      <c r="G10" s="22">
        <v>54813825.275657341</v>
      </c>
      <c r="H10" s="26">
        <f t="shared" si="1"/>
        <v>521469571.67090762</v>
      </c>
      <c r="I10" s="22">
        <v>5331424.9363867687</v>
      </c>
      <c r="J10" s="22">
        <v>0</v>
      </c>
      <c r="K10" s="22">
        <f t="shared" si="2"/>
        <v>5331424.9363867687</v>
      </c>
      <c r="L10" s="25">
        <f t="shared" si="3"/>
        <v>2138325169.6352842</v>
      </c>
    </row>
    <row r="11" spans="1:12" ht="16.5" x14ac:dyDescent="0.3">
      <c r="A11" s="20" t="s">
        <v>57</v>
      </c>
      <c r="B11" s="21" t="s">
        <v>58</v>
      </c>
      <c r="C11" s="22">
        <v>1143576198.2793937</v>
      </c>
      <c r="D11" s="22">
        <v>29794346.579270788</v>
      </c>
      <c r="E11" s="26">
        <f t="shared" si="0"/>
        <v>1173370544.8586645</v>
      </c>
      <c r="F11" s="22">
        <v>136289942.64645636</v>
      </c>
      <c r="G11" s="22">
        <v>65892690.495698482</v>
      </c>
      <c r="H11" s="26">
        <f t="shared" si="1"/>
        <v>202182633.14215484</v>
      </c>
      <c r="I11" s="22">
        <v>14387443.670626791</v>
      </c>
      <c r="J11" s="22">
        <v>22711798.443260957</v>
      </c>
      <c r="K11" s="22">
        <f t="shared" si="2"/>
        <v>37099242.11388775</v>
      </c>
      <c r="L11" s="25">
        <f t="shared" si="3"/>
        <v>1412652420.1147072</v>
      </c>
    </row>
    <row r="12" spans="1:12" ht="16.5" x14ac:dyDescent="0.3">
      <c r="A12" s="20" t="s">
        <v>57</v>
      </c>
      <c r="B12" s="21" t="s">
        <v>59</v>
      </c>
      <c r="C12" s="22">
        <v>3047106731.9740291</v>
      </c>
      <c r="D12" s="22">
        <v>62259938.489577398</v>
      </c>
      <c r="E12" s="26">
        <f t="shared" si="0"/>
        <v>3109366670.4636064</v>
      </c>
      <c r="F12" s="22">
        <v>282404487.98268592</v>
      </c>
      <c r="G12" s="22">
        <v>14549151.383984508</v>
      </c>
      <c r="H12" s="26">
        <f t="shared" si="1"/>
        <v>296953639.36667043</v>
      </c>
      <c r="I12" s="22">
        <v>19214147.397197857</v>
      </c>
      <c r="J12" s="22">
        <v>38142385.237498574</v>
      </c>
      <c r="K12" s="22">
        <f t="shared" si="2"/>
        <v>57356532.634696431</v>
      </c>
      <c r="L12" s="25">
        <f t="shared" si="3"/>
        <v>3463676842.4649734</v>
      </c>
    </row>
    <row r="13" spans="1:12" ht="16.5" x14ac:dyDescent="0.3">
      <c r="A13" s="20" t="s">
        <v>57</v>
      </c>
      <c r="B13" s="21" t="s">
        <v>60</v>
      </c>
      <c r="C13" s="22">
        <v>1322843721.4958954</v>
      </c>
      <c r="D13" s="22">
        <v>35922367.487584881</v>
      </c>
      <c r="E13" s="26">
        <f t="shared" si="0"/>
        <v>1358766088.9834802</v>
      </c>
      <c r="F13" s="22">
        <v>92588324.718759492</v>
      </c>
      <c r="G13" s="22">
        <v>4534610.3172190124</v>
      </c>
      <c r="H13" s="26">
        <f t="shared" si="1"/>
        <v>97122935.035978511</v>
      </c>
      <c r="I13" s="22">
        <v>22348636.870376002</v>
      </c>
      <c r="J13" s="22">
        <v>27254079.254079252</v>
      </c>
      <c r="K13" s="22">
        <f t="shared" si="2"/>
        <v>49602716.124455258</v>
      </c>
      <c r="L13" s="25">
        <f t="shared" si="3"/>
        <v>1505491740.143914</v>
      </c>
    </row>
    <row r="14" spans="1:12" ht="16.5" x14ac:dyDescent="0.3">
      <c r="A14" s="20" t="s">
        <v>57</v>
      </c>
      <c r="B14" s="21" t="s">
        <v>61</v>
      </c>
      <c r="C14" s="22">
        <v>1055992164.7921143</v>
      </c>
      <c r="D14" s="22">
        <v>0</v>
      </c>
      <c r="E14" s="26">
        <f t="shared" si="0"/>
        <v>1055992164.7921143</v>
      </c>
      <c r="F14" s="22">
        <v>101545557.94262606</v>
      </c>
      <c r="G14" s="22">
        <v>13403892.329078732</v>
      </c>
      <c r="H14" s="26">
        <f t="shared" si="1"/>
        <v>114949450.27170479</v>
      </c>
      <c r="I14" s="22">
        <v>16383040.566156957</v>
      </c>
      <c r="J14" s="22">
        <v>68642360.672311381</v>
      </c>
      <c r="K14" s="22">
        <f t="shared" si="2"/>
        <v>85025401.238468334</v>
      </c>
      <c r="L14" s="25">
        <f t="shared" si="3"/>
        <v>1255967016.3022873</v>
      </c>
    </row>
    <row r="15" spans="1:12" ht="16.5" x14ac:dyDescent="0.3">
      <c r="A15" s="20" t="s">
        <v>62</v>
      </c>
      <c r="B15" s="21" t="s">
        <v>63</v>
      </c>
      <c r="C15" s="22">
        <v>113275281.34727432</v>
      </c>
      <c r="D15" s="22">
        <v>0</v>
      </c>
      <c r="E15" s="26">
        <f t="shared" si="0"/>
        <v>113275281.34727432</v>
      </c>
      <c r="F15" s="22">
        <v>5574666.7730864389</v>
      </c>
      <c r="G15" s="22">
        <v>0</v>
      </c>
      <c r="H15" s="26">
        <f t="shared" si="1"/>
        <v>5574666.7730864389</v>
      </c>
      <c r="I15" s="22">
        <v>8515444.1695266981</v>
      </c>
      <c r="J15" s="22">
        <v>4563971.5859206636</v>
      </c>
      <c r="K15" s="22">
        <f t="shared" si="2"/>
        <v>13079415.755447362</v>
      </c>
      <c r="L15" s="25">
        <f t="shared" si="3"/>
        <v>131929363.87580812</v>
      </c>
    </row>
    <row r="16" spans="1:12" ht="16.5" x14ac:dyDescent="0.3">
      <c r="A16" s="20" t="s">
        <v>62</v>
      </c>
      <c r="B16" s="27" t="s">
        <v>64</v>
      </c>
      <c r="C16" s="22">
        <v>228262784.85555357</v>
      </c>
      <c r="D16" s="22">
        <v>231383.45594832225</v>
      </c>
      <c r="E16" s="26">
        <f t="shared" si="0"/>
        <v>228494168.31150189</v>
      </c>
      <c r="F16" s="22">
        <v>23818589.628566302</v>
      </c>
      <c r="G16" s="22">
        <v>1462587.4753274717</v>
      </c>
      <c r="H16" s="26">
        <f t="shared" si="1"/>
        <v>25281177.103893775</v>
      </c>
      <c r="I16" s="22">
        <v>14517136.192356002</v>
      </c>
      <c r="J16" s="22">
        <v>11205275.435133681</v>
      </c>
      <c r="K16" s="22">
        <f t="shared" si="2"/>
        <v>25722411.627489682</v>
      </c>
      <c r="L16" s="25">
        <f t="shared" si="3"/>
        <v>279497757.04288536</v>
      </c>
    </row>
    <row r="17" spans="1:12" ht="16.5" x14ac:dyDescent="0.3">
      <c r="A17" s="20" t="s">
        <v>62</v>
      </c>
      <c r="B17" s="21" t="s">
        <v>65</v>
      </c>
      <c r="C17" s="22">
        <v>181420745.35370243</v>
      </c>
      <c r="D17" s="22">
        <v>282183.51659044466</v>
      </c>
      <c r="E17" s="26">
        <f t="shared" si="0"/>
        <v>181702928.87029287</v>
      </c>
      <c r="F17" s="22">
        <v>9488177.4837014694</v>
      </c>
      <c r="G17" s="22">
        <v>2870487.4963510749</v>
      </c>
      <c r="H17" s="26">
        <f t="shared" si="1"/>
        <v>12358664.980052544</v>
      </c>
      <c r="I17" s="22">
        <v>10929064.902208814</v>
      </c>
      <c r="J17" s="22">
        <v>19043981.70672375</v>
      </c>
      <c r="K17" s="22">
        <f t="shared" si="2"/>
        <v>29973046.608932562</v>
      </c>
      <c r="L17" s="25">
        <f t="shared" si="3"/>
        <v>224034640.45927796</v>
      </c>
    </row>
    <row r="18" spans="1:12" ht="16.5" x14ac:dyDescent="0.3">
      <c r="A18" s="20" t="s">
        <v>29</v>
      </c>
      <c r="B18" s="27" t="s">
        <v>64</v>
      </c>
      <c r="C18" s="22">
        <v>1558113239.8221006</v>
      </c>
      <c r="D18" s="22">
        <v>35843425.704185195</v>
      </c>
      <c r="E18" s="26">
        <f t="shared" si="0"/>
        <v>1593956665.5262859</v>
      </c>
      <c r="F18" s="22">
        <v>827017561.86566317</v>
      </c>
      <c r="G18" s="22">
        <v>1168848329.3420002</v>
      </c>
      <c r="H18" s="26">
        <f t="shared" si="1"/>
        <v>1995865891.2076635</v>
      </c>
      <c r="I18" s="22">
        <v>49372106.28349869</v>
      </c>
      <c r="J18" s="22">
        <v>567339.4913901242</v>
      </c>
      <c r="K18" s="22">
        <f t="shared" si="2"/>
        <v>49939445.774888813</v>
      </c>
      <c r="L18" s="25">
        <f t="shared" si="3"/>
        <v>3639762002.5088387</v>
      </c>
    </row>
    <row r="19" spans="1:12" ht="16.5" x14ac:dyDescent="0.3">
      <c r="A19" s="20" t="s">
        <v>29</v>
      </c>
      <c r="B19" s="21" t="s">
        <v>30</v>
      </c>
      <c r="C19" s="22">
        <v>6187262816.8036108</v>
      </c>
      <c r="D19" s="22">
        <v>1190218146.0479112</v>
      </c>
      <c r="E19" s="26">
        <f t="shared" si="0"/>
        <v>7377480962.8515224</v>
      </c>
      <c r="F19" s="22">
        <v>4756373313.2739267</v>
      </c>
      <c r="G19" s="22">
        <v>1436366739.9606528</v>
      </c>
      <c r="H19" s="26">
        <f t="shared" si="1"/>
        <v>6192740053.2345791</v>
      </c>
      <c r="I19" s="22">
        <v>629638120.58789492</v>
      </c>
      <c r="J19" s="22">
        <v>0</v>
      </c>
      <c r="K19" s="22">
        <f t="shared" si="2"/>
        <v>629638120.58789492</v>
      </c>
      <c r="L19" s="25">
        <f t="shared" si="3"/>
        <v>14199859136.673996</v>
      </c>
    </row>
    <row r="20" spans="1:12" ht="16.5" x14ac:dyDescent="0.3">
      <c r="A20" s="20" t="s">
        <v>66</v>
      </c>
      <c r="B20" s="21" t="s">
        <v>67</v>
      </c>
      <c r="C20" s="22">
        <v>787760753.50055408</v>
      </c>
      <c r="D20" s="26">
        <v>2558174.6751284376</v>
      </c>
      <c r="E20" s="26">
        <f t="shared" si="0"/>
        <v>790318928.17568254</v>
      </c>
      <c r="F20" s="22">
        <v>47904200.664853431</v>
      </c>
      <c r="G20" s="22">
        <v>3380175.2795406468</v>
      </c>
      <c r="H20" s="26">
        <f t="shared" si="1"/>
        <v>51284375.944394082</v>
      </c>
      <c r="I20" s="22">
        <v>9943185.2523420975</v>
      </c>
      <c r="J20" s="22">
        <v>89774554.245995775</v>
      </c>
      <c r="K20" s="22">
        <f t="shared" si="2"/>
        <v>99717739.498337865</v>
      </c>
      <c r="L20" s="25">
        <f t="shared" si="3"/>
        <v>941321043.61841452</v>
      </c>
    </row>
    <row r="21" spans="1:12" ht="15.75" customHeight="1" x14ac:dyDescent="0.3">
      <c r="A21" s="20" t="s">
        <v>31</v>
      </c>
      <c r="B21" s="21" t="s">
        <v>32</v>
      </c>
      <c r="C21" s="22">
        <v>6075872280.4190168</v>
      </c>
      <c r="D21" s="26">
        <v>80512892.828364223</v>
      </c>
      <c r="E21" s="26">
        <f t="shared" si="0"/>
        <v>6156385173.2473812</v>
      </c>
      <c r="F21" s="22">
        <v>1109982876.7123287</v>
      </c>
      <c r="G21" s="22">
        <v>313468976.63174856</v>
      </c>
      <c r="H21" s="26">
        <f t="shared" si="1"/>
        <v>1423451853.3440771</v>
      </c>
      <c r="I21" s="22">
        <v>62565672.844480254</v>
      </c>
      <c r="J21" s="22">
        <v>9640209.5084609184</v>
      </c>
      <c r="K21" s="22">
        <f t="shared" si="2"/>
        <v>72205882.35294117</v>
      </c>
      <c r="L21" s="25">
        <f t="shared" si="3"/>
        <v>7652042908.9443998</v>
      </c>
    </row>
    <row r="22" spans="1:12" ht="15.75" customHeight="1" x14ac:dyDescent="0.3">
      <c r="A22" s="20" t="s">
        <v>31</v>
      </c>
      <c r="B22" s="21" t="s">
        <v>33</v>
      </c>
      <c r="C22" s="22">
        <v>6948340063.2449522</v>
      </c>
      <c r="D22" s="22">
        <v>490737776.69666743</v>
      </c>
      <c r="E22" s="26">
        <f t="shared" si="0"/>
        <v>7439077839.9416199</v>
      </c>
      <c r="F22" s="22">
        <v>852222330.33325219</v>
      </c>
      <c r="G22" s="22">
        <v>105956458.28265628</v>
      </c>
      <c r="H22" s="26">
        <f t="shared" si="1"/>
        <v>958178788.6159085</v>
      </c>
      <c r="I22" s="22">
        <v>148641206.51909509</v>
      </c>
      <c r="J22" s="22">
        <v>20752858.18535636</v>
      </c>
      <c r="K22" s="22">
        <f t="shared" si="2"/>
        <v>169394064.70445144</v>
      </c>
      <c r="L22" s="25">
        <f t="shared" si="3"/>
        <v>8566650693.2619801</v>
      </c>
    </row>
    <row r="23" spans="1:12" ht="15.75" customHeight="1" x14ac:dyDescent="0.3">
      <c r="A23" s="20" t="s">
        <v>31</v>
      </c>
      <c r="B23" s="21" t="s">
        <v>34</v>
      </c>
      <c r="C23" s="22">
        <v>1360934215.1061609</v>
      </c>
      <c r="D23" s="22">
        <v>34288896.623738252</v>
      </c>
      <c r="E23" s="26">
        <f t="shared" si="0"/>
        <v>1395223111.7298992</v>
      </c>
      <c r="F23" s="22">
        <v>111441350.50469892</v>
      </c>
      <c r="G23" s="22">
        <v>186603898.36407936</v>
      </c>
      <c r="H23" s="26">
        <f t="shared" si="1"/>
        <v>298045248.86877829</v>
      </c>
      <c r="I23" s="22">
        <v>17513748.69474417</v>
      </c>
      <c r="J23" s="22">
        <v>0</v>
      </c>
      <c r="K23" s="22">
        <f t="shared" si="2"/>
        <v>17513748.69474417</v>
      </c>
      <c r="L23" s="25">
        <f t="shared" si="3"/>
        <v>1710782109.2934215</v>
      </c>
    </row>
    <row r="24" spans="1:12" ht="15.75" customHeight="1" x14ac:dyDescent="0.3">
      <c r="A24" s="20" t="s">
        <v>31</v>
      </c>
      <c r="B24" s="21" t="s">
        <v>35</v>
      </c>
      <c r="C24" s="22">
        <v>3965830899.1328163</v>
      </c>
      <c r="D24" s="22">
        <v>409439753.53719765</v>
      </c>
      <c r="E24" s="26">
        <f t="shared" si="0"/>
        <v>4375270652.6700144</v>
      </c>
      <c r="F24" s="22">
        <v>391596759.47056139</v>
      </c>
      <c r="G24" s="22">
        <v>363193290.7348243</v>
      </c>
      <c r="H24" s="26">
        <f t="shared" si="1"/>
        <v>754790050.20538568</v>
      </c>
      <c r="I24" s="22">
        <v>122857371.06344135</v>
      </c>
      <c r="J24" s="22">
        <v>355773.61935189413</v>
      </c>
      <c r="K24" s="22">
        <f t="shared" si="2"/>
        <v>123213144.68279324</v>
      </c>
      <c r="L24" s="25">
        <f t="shared" si="3"/>
        <v>5253273847.5581942</v>
      </c>
    </row>
    <row r="25" spans="1:12" ht="15.75" customHeight="1" x14ac:dyDescent="0.3">
      <c r="A25" s="20" t="s">
        <v>31</v>
      </c>
      <c r="B25" s="21" t="s">
        <v>36</v>
      </c>
      <c r="C25" s="22">
        <v>1269257358.8709679</v>
      </c>
      <c r="D25" s="22">
        <v>56241330.645161293</v>
      </c>
      <c r="E25" s="26">
        <f t="shared" si="0"/>
        <v>1325498689.5161293</v>
      </c>
      <c r="F25" s="22">
        <v>86565423.387096778</v>
      </c>
      <c r="G25" s="22">
        <v>99432157.258064523</v>
      </c>
      <c r="H25" s="26">
        <f t="shared" si="1"/>
        <v>185997580.6451613</v>
      </c>
      <c r="I25" s="22">
        <v>11823689.516129032</v>
      </c>
      <c r="J25" s="22">
        <v>0</v>
      </c>
      <c r="K25" s="22">
        <f t="shared" si="2"/>
        <v>11823689.516129032</v>
      </c>
      <c r="L25" s="25">
        <f t="shared" si="3"/>
        <v>1523319959.6774197</v>
      </c>
    </row>
    <row r="26" spans="1:12" ht="15.75" customHeight="1" x14ac:dyDescent="0.3">
      <c r="A26" s="20" t="s">
        <v>31</v>
      </c>
      <c r="B26" s="21" t="s">
        <v>37</v>
      </c>
      <c r="C26" s="22">
        <v>8140842603.5502958</v>
      </c>
      <c r="D26" s="22">
        <v>765714398.42209077</v>
      </c>
      <c r="E26" s="26">
        <f t="shared" si="0"/>
        <v>8906557001.9723873</v>
      </c>
      <c r="F26" s="22">
        <v>2434022879.6844182</v>
      </c>
      <c r="G26" s="22">
        <v>1091329783.0374753</v>
      </c>
      <c r="H26" s="26">
        <f t="shared" si="1"/>
        <v>3525352662.7218933</v>
      </c>
      <c r="I26" s="22">
        <v>160781854.04339251</v>
      </c>
      <c r="J26" s="22">
        <v>0</v>
      </c>
      <c r="K26" s="22">
        <f t="shared" si="2"/>
        <v>160781854.04339251</v>
      </c>
      <c r="L26" s="25">
        <f t="shared" si="3"/>
        <v>12592691518.737673</v>
      </c>
    </row>
    <row r="27" spans="1:12" ht="15.75" customHeight="1" x14ac:dyDescent="0.3">
      <c r="A27" s="20" t="s">
        <v>38</v>
      </c>
      <c r="B27" s="21" t="s">
        <v>39</v>
      </c>
      <c r="C27" s="22">
        <v>544501555.52549708</v>
      </c>
      <c r="D27" s="22">
        <v>14592317.056675231</v>
      </c>
      <c r="E27" s="26">
        <f t="shared" si="0"/>
        <v>559093872.58217227</v>
      </c>
      <c r="F27" s="22">
        <v>70721087.515217096</v>
      </c>
      <c r="G27" s="22">
        <v>3337887.1905856887</v>
      </c>
      <c r="H27" s="26">
        <f t="shared" si="1"/>
        <v>74058974.705802783</v>
      </c>
      <c r="I27" s="22">
        <v>9418774.5164344646</v>
      </c>
      <c r="J27" s="22">
        <v>0</v>
      </c>
      <c r="K27" s="22">
        <f t="shared" si="2"/>
        <v>9418774.5164344646</v>
      </c>
      <c r="L27" s="25">
        <f t="shared" si="3"/>
        <v>642571621.8044095</v>
      </c>
    </row>
    <row r="28" spans="1:12" ht="15.75" customHeight="1" x14ac:dyDescent="0.3">
      <c r="A28" s="20" t="s">
        <v>38</v>
      </c>
      <c r="B28" s="21" t="s">
        <v>40</v>
      </c>
      <c r="C28" s="22">
        <v>6819076808.9840031</v>
      </c>
      <c r="D28" s="22">
        <v>0</v>
      </c>
      <c r="E28" s="26">
        <f t="shared" si="0"/>
        <v>6819076808.9840031</v>
      </c>
      <c r="F28" s="22">
        <v>549728784.82890141</v>
      </c>
      <c r="G28" s="22">
        <v>26694988.875940248</v>
      </c>
      <c r="H28" s="26">
        <f t="shared" si="1"/>
        <v>576423773.70484161</v>
      </c>
      <c r="I28" s="22">
        <v>36671045.661616698</v>
      </c>
      <c r="J28" s="22">
        <v>45368895.010064624</v>
      </c>
      <c r="K28" s="22">
        <f t="shared" si="2"/>
        <v>82039940.671681315</v>
      </c>
      <c r="L28" s="25">
        <f t="shared" si="3"/>
        <v>7477540523.3605261</v>
      </c>
    </row>
    <row r="29" spans="1:12" ht="15.75" customHeight="1" x14ac:dyDescent="0.3">
      <c r="A29" s="20" t="s">
        <v>38</v>
      </c>
      <c r="B29" s="21" t="s">
        <v>68</v>
      </c>
      <c r="C29" s="22">
        <v>4660221061.2579384</v>
      </c>
      <c r="D29" s="22">
        <v>257185003.07314074</v>
      </c>
      <c r="E29" s="26">
        <f t="shared" si="0"/>
        <v>4917406064.3310795</v>
      </c>
      <c r="F29" s="22">
        <v>642058000.40975201</v>
      </c>
      <c r="G29" s="22">
        <v>0</v>
      </c>
      <c r="H29" s="26">
        <f t="shared" si="1"/>
        <v>642058000.40975201</v>
      </c>
      <c r="I29" s="22">
        <v>77395718.090555206</v>
      </c>
      <c r="J29" s="22">
        <v>6517107.1501741437</v>
      </c>
      <c r="K29" s="22">
        <f t="shared" si="2"/>
        <v>83912825.240729347</v>
      </c>
      <c r="L29" s="25">
        <f t="shared" si="3"/>
        <v>5643376889.9815607</v>
      </c>
    </row>
    <row r="30" spans="1:12" ht="15.75" customHeight="1" x14ac:dyDescent="0.3">
      <c r="A30" s="20" t="s">
        <v>38</v>
      </c>
      <c r="B30" s="21" t="s">
        <v>69</v>
      </c>
      <c r="C30" s="22">
        <v>718934739.39929318</v>
      </c>
      <c r="D30" s="22">
        <v>5501766.7844522968</v>
      </c>
      <c r="E30" s="26">
        <f t="shared" si="0"/>
        <v>724436506.1837455</v>
      </c>
      <c r="F30" s="22">
        <v>159454394.87632507</v>
      </c>
      <c r="G30" s="22">
        <v>0</v>
      </c>
      <c r="H30" s="26">
        <f t="shared" si="1"/>
        <v>159454394.87632507</v>
      </c>
      <c r="I30" s="22">
        <v>22864399.293286216</v>
      </c>
      <c r="J30" s="22">
        <v>0</v>
      </c>
      <c r="K30" s="22">
        <f t="shared" si="2"/>
        <v>22864399.293286216</v>
      </c>
      <c r="L30" s="25">
        <f t="shared" si="3"/>
        <v>906755300.35335672</v>
      </c>
    </row>
    <row r="31" spans="1:12" ht="15.75" customHeight="1" x14ac:dyDescent="0.3">
      <c r="A31" s="20" t="s">
        <v>70</v>
      </c>
      <c r="B31" s="21" t="s">
        <v>71</v>
      </c>
      <c r="C31" s="22">
        <v>2661604302.4771833</v>
      </c>
      <c r="D31" s="22">
        <v>16184267.709691437</v>
      </c>
      <c r="E31" s="26">
        <f t="shared" si="0"/>
        <v>2677788570.1868749</v>
      </c>
      <c r="F31" s="22">
        <v>527860821.38200778</v>
      </c>
      <c r="G31" s="22">
        <v>104323446.3276836</v>
      </c>
      <c r="H31" s="26">
        <f t="shared" si="1"/>
        <v>632184267.70969141</v>
      </c>
      <c r="I31" s="22">
        <v>33866688.396349408</v>
      </c>
      <c r="J31" s="22">
        <v>4845719.2524989126</v>
      </c>
      <c r="K31" s="22">
        <f t="shared" si="2"/>
        <v>38712407.648848318</v>
      </c>
      <c r="L31" s="25">
        <f t="shared" si="3"/>
        <v>3348685245.5454149</v>
      </c>
    </row>
    <row r="32" spans="1:12" ht="15.75" customHeight="1" x14ac:dyDescent="0.3">
      <c r="A32" s="20" t="s">
        <v>70</v>
      </c>
      <c r="B32" s="21" t="s">
        <v>72</v>
      </c>
      <c r="C32" s="22">
        <v>1228708901.8843405</v>
      </c>
      <c r="D32" s="22">
        <v>40065735.325969242</v>
      </c>
      <c r="E32" s="26">
        <f t="shared" si="0"/>
        <v>1268774637.2103097</v>
      </c>
      <c r="F32" s="22">
        <v>121682586.0948668</v>
      </c>
      <c r="G32" s="22">
        <v>64709118.475200348</v>
      </c>
      <c r="H32" s="26">
        <f t="shared" si="1"/>
        <v>186391704.57006714</v>
      </c>
      <c r="I32" s="22">
        <v>8284167.2081438163</v>
      </c>
      <c r="J32" s="22">
        <v>5522850.3357158331</v>
      </c>
      <c r="K32" s="22">
        <f t="shared" si="2"/>
        <v>13807017.543859649</v>
      </c>
      <c r="L32" s="25">
        <f t="shared" si="3"/>
        <v>1468973359.3242366</v>
      </c>
    </row>
    <row r="33" spans="1:12" ht="15.75" customHeight="1" x14ac:dyDescent="0.3">
      <c r="A33" s="20" t="s">
        <v>41</v>
      </c>
      <c r="B33" s="21" t="s">
        <v>73</v>
      </c>
      <c r="C33" s="22">
        <v>1230732822.7078171</v>
      </c>
      <c r="D33" s="22">
        <v>119380040.54967335</v>
      </c>
      <c r="E33" s="26">
        <f t="shared" si="0"/>
        <v>1350112863.2574904</v>
      </c>
      <c r="F33" s="22">
        <v>263365059.69813019</v>
      </c>
      <c r="G33" s="22">
        <v>51132349.628294662</v>
      </c>
      <c r="H33" s="26">
        <f t="shared" si="1"/>
        <v>314497409.32642484</v>
      </c>
      <c r="I33" s="22">
        <v>29384883.982879024</v>
      </c>
      <c r="J33" s="22">
        <v>0</v>
      </c>
      <c r="K33" s="22">
        <f t="shared" si="2"/>
        <v>29384883.982879024</v>
      </c>
      <c r="L33" s="25">
        <f t="shared" si="3"/>
        <v>1693995156.5667942</v>
      </c>
    </row>
    <row r="34" spans="1:12" ht="15.75" customHeight="1" x14ac:dyDescent="0.3">
      <c r="A34" s="20" t="s">
        <v>41</v>
      </c>
      <c r="B34" s="21" t="s">
        <v>42</v>
      </c>
      <c r="C34" s="22">
        <v>4751455213.1147547</v>
      </c>
      <c r="D34" s="22">
        <v>658264000</v>
      </c>
      <c r="E34" s="26">
        <f t="shared" si="0"/>
        <v>5409719213.1147547</v>
      </c>
      <c r="F34" s="22">
        <v>2232314098.3606558</v>
      </c>
      <c r="G34" s="22">
        <v>637608131.14754105</v>
      </c>
      <c r="H34" s="26">
        <f t="shared" si="1"/>
        <v>2869922229.5081968</v>
      </c>
      <c r="I34" s="22">
        <v>64448262.295081973</v>
      </c>
      <c r="J34" s="22">
        <v>0</v>
      </c>
      <c r="K34" s="22">
        <f t="shared" si="2"/>
        <v>64448262.295081973</v>
      </c>
      <c r="L34" s="25">
        <f t="shared" si="3"/>
        <v>8344089704.9180336</v>
      </c>
    </row>
    <row r="35" spans="1:12" ht="15.75" customHeight="1" x14ac:dyDescent="0.3">
      <c r="A35" s="20" t="s">
        <v>41</v>
      </c>
      <c r="B35" s="21" t="s">
        <v>43</v>
      </c>
      <c r="C35" s="22">
        <v>1087352564.7861791</v>
      </c>
      <c r="D35" s="22">
        <v>27704169.777114216</v>
      </c>
      <c r="E35" s="26">
        <f t="shared" si="0"/>
        <v>1115056734.5632932</v>
      </c>
      <c r="F35" s="22">
        <v>118629519.03593901</v>
      </c>
      <c r="G35" s="22">
        <v>39904127.119547829</v>
      </c>
      <c r="H35" s="26">
        <f t="shared" si="1"/>
        <v>158533646.15548682</v>
      </c>
      <c r="I35" s="22">
        <v>4500693.1854537698</v>
      </c>
      <c r="J35" s="22">
        <v>0</v>
      </c>
      <c r="K35" s="22">
        <f t="shared" si="2"/>
        <v>4500693.1854537698</v>
      </c>
      <c r="L35" s="25">
        <f t="shared" si="3"/>
        <v>1278091073.9042337</v>
      </c>
    </row>
    <row r="36" spans="1:12" ht="15.75" customHeight="1" x14ac:dyDescent="0.3">
      <c r="A36" s="20" t="s">
        <v>41</v>
      </c>
      <c r="B36" s="21" t="s">
        <v>44</v>
      </c>
      <c r="C36" s="22">
        <v>7865825254.8366966</v>
      </c>
      <c r="D36" s="22">
        <v>182412315.37341377</v>
      </c>
      <c r="E36" s="26">
        <f t="shared" si="0"/>
        <v>8048237570.2101107</v>
      </c>
      <c r="F36" s="22">
        <v>2285015810.27668</v>
      </c>
      <c r="G36" s="22">
        <v>450790513.83399206</v>
      </c>
      <c r="H36" s="26">
        <f t="shared" si="1"/>
        <v>2735806324.110672</v>
      </c>
      <c r="I36" s="22">
        <v>107942167.67214479</v>
      </c>
      <c r="J36" s="22">
        <v>3119201.1649677553</v>
      </c>
      <c r="K36" s="22">
        <f t="shared" si="2"/>
        <v>111061368.83711255</v>
      </c>
      <c r="L36" s="25">
        <f t="shared" si="3"/>
        <v>10895105263.157894</v>
      </c>
    </row>
    <row r="37" spans="1:12" ht="15.75" customHeight="1" x14ac:dyDescent="0.3">
      <c r="A37" s="20" t="s">
        <v>41</v>
      </c>
      <c r="B37" s="21" t="s">
        <v>74</v>
      </c>
      <c r="C37" s="22">
        <v>1414938805.2997978</v>
      </c>
      <c r="D37" s="22">
        <v>71775881.428250611</v>
      </c>
      <c r="E37" s="26">
        <f t="shared" si="0"/>
        <v>1486714686.7280483</v>
      </c>
      <c r="F37" s="22">
        <v>324712553.3348304</v>
      </c>
      <c r="G37" s="22">
        <v>61169324.051201433</v>
      </c>
      <c r="H37" s="26">
        <f t="shared" si="1"/>
        <v>385881877.38603187</v>
      </c>
      <c r="I37" s="22">
        <v>17052885.695037052</v>
      </c>
      <c r="J37" s="22">
        <v>2021.1093644733885</v>
      </c>
      <c r="K37" s="22">
        <f t="shared" si="2"/>
        <v>17054906.804401524</v>
      </c>
      <c r="L37" s="25">
        <f t="shared" si="3"/>
        <v>1889651470.9184818</v>
      </c>
    </row>
    <row r="38" spans="1:12" ht="15.75" customHeight="1" x14ac:dyDescent="0.3">
      <c r="A38" s="20" t="s">
        <v>45</v>
      </c>
      <c r="B38" s="21" t="s">
        <v>75</v>
      </c>
      <c r="C38" s="22">
        <v>6933049709.4229975</v>
      </c>
      <c r="D38" s="22">
        <v>90163968.451639682</v>
      </c>
      <c r="E38" s="26">
        <f t="shared" si="0"/>
        <v>7023213677.8746376</v>
      </c>
      <c r="F38" s="22">
        <v>1946934205.064342</v>
      </c>
      <c r="G38" s="22">
        <v>500783001.24533004</v>
      </c>
      <c r="H38" s="26">
        <f t="shared" si="1"/>
        <v>2447717206.3096719</v>
      </c>
      <c r="I38" s="22">
        <v>97740244.914902449</v>
      </c>
      <c r="J38" s="22">
        <v>4329493.5657949354</v>
      </c>
      <c r="K38" s="22">
        <f t="shared" si="2"/>
        <v>102069738.48069738</v>
      </c>
      <c r="L38" s="25">
        <f t="shared" si="3"/>
        <v>9573000622.6650066</v>
      </c>
    </row>
    <row r="39" spans="1:12" ht="15.75" customHeight="1" x14ac:dyDescent="0.3">
      <c r="A39" s="20" t="s">
        <v>45</v>
      </c>
      <c r="B39" s="21" t="s">
        <v>46</v>
      </c>
      <c r="C39" s="22">
        <v>7463205964.3853245</v>
      </c>
      <c r="D39" s="22">
        <v>734804762.92641068</v>
      </c>
      <c r="E39" s="26">
        <f t="shared" si="0"/>
        <v>8198010727.3117352</v>
      </c>
      <c r="F39" s="22">
        <v>1769625831.3666594</v>
      </c>
      <c r="G39" s="22">
        <v>1110339412.1433167</v>
      </c>
      <c r="H39" s="26">
        <f t="shared" si="1"/>
        <v>2879965243.5099764</v>
      </c>
      <c r="I39" s="22">
        <v>173770060.07294571</v>
      </c>
      <c r="J39" s="22">
        <v>57502896.374168627</v>
      </c>
      <c r="K39" s="22">
        <f t="shared" si="2"/>
        <v>231272956.44711435</v>
      </c>
      <c r="L39" s="25">
        <f t="shared" si="3"/>
        <v>11309248927.268827</v>
      </c>
    </row>
    <row r="40" spans="1:12" ht="15.75" customHeight="1" x14ac:dyDescent="0.3">
      <c r="A40" s="20" t="s">
        <v>45</v>
      </c>
      <c r="B40" s="21" t="s">
        <v>47</v>
      </c>
      <c r="C40" s="22">
        <v>803226521.06084239</v>
      </c>
      <c r="D40" s="22">
        <v>12438273.530941237</v>
      </c>
      <c r="E40" s="26">
        <f t="shared" si="0"/>
        <v>815664794.59178364</v>
      </c>
      <c r="F40" s="22">
        <v>93041705.668226734</v>
      </c>
      <c r="G40" s="22">
        <v>35512428.497139886</v>
      </c>
      <c r="H40" s="26">
        <f t="shared" si="1"/>
        <v>128554134.16536662</v>
      </c>
      <c r="I40" s="22">
        <v>8876755.0702028088</v>
      </c>
      <c r="J40" s="22">
        <v>0</v>
      </c>
      <c r="K40" s="22">
        <f t="shared" si="2"/>
        <v>8876755.0702028088</v>
      </c>
      <c r="L40" s="25">
        <f t="shared" si="3"/>
        <v>953095683.82735312</v>
      </c>
    </row>
    <row r="41" spans="1:12" ht="15.75" customHeight="1" x14ac:dyDescent="0.3">
      <c r="A41" s="20" t="s">
        <v>48</v>
      </c>
      <c r="B41" s="21" t="s">
        <v>49</v>
      </c>
      <c r="C41" s="22">
        <v>3327825322.10109</v>
      </c>
      <c r="D41" s="22">
        <v>171969276.51139742</v>
      </c>
      <c r="E41" s="26">
        <f t="shared" si="0"/>
        <v>3499794598.6124873</v>
      </c>
      <c r="F41" s="22">
        <v>866324331.02081263</v>
      </c>
      <c r="G41" s="22">
        <v>2169870416.2537165</v>
      </c>
      <c r="H41" s="26">
        <f t="shared" si="1"/>
        <v>3036194747.274529</v>
      </c>
      <c r="I41" s="22">
        <v>216049058.47373638</v>
      </c>
      <c r="J41" s="22">
        <v>0</v>
      </c>
      <c r="K41" s="22">
        <f t="shared" si="2"/>
        <v>216049058.47373638</v>
      </c>
      <c r="L41" s="25">
        <f t="shared" si="3"/>
        <v>6752038404.3607531</v>
      </c>
    </row>
    <row r="42" spans="1:12" ht="15.75" customHeight="1" x14ac:dyDescent="0.3">
      <c r="A42" s="20" t="s">
        <v>48</v>
      </c>
      <c r="B42" s="21" t="s">
        <v>50</v>
      </c>
      <c r="C42" s="22">
        <v>1985232749.8473437</v>
      </c>
      <c r="D42" s="22">
        <v>140338693.26277223</v>
      </c>
      <c r="E42" s="26">
        <f t="shared" si="0"/>
        <v>2125571443.110116</v>
      </c>
      <c r="F42" s="22">
        <v>258838082.63789943</v>
      </c>
      <c r="G42" s="22">
        <v>509089354.77305108</v>
      </c>
      <c r="H42" s="26">
        <f t="shared" si="1"/>
        <v>767927437.41095054</v>
      </c>
      <c r="I42" s="22">
        <v>28954406.676165275</v>
      </c>
      <c r="J42" s="22">
        <v>0</v>
      </c>
      <c r="K42" s="22">
        <f t="shared" si="2"/>
        <v>28954406.676165275</v>
      </c>
      <c r="L42" s="25">
        <f t="shared" si="3"/>
        <v>2922453287.1972318</v>
      </c>
    </row>
    <row r="43" spans="1:12" ht="15.75" customHeight="1" x14ac:dyDescent="0.3">
      <c r="A43" s="28" t="s">
        <v>76</v>
      </c>
      <c r="B43" s="29" t="s">
        <v>77</v>
      </c>
      <c r="C43" s="30">
        <v>230096963.99152741</v>
      </c>
      <c r="D43" s="31">
        <v>0</v>
      </c>
      <c r="E43" s="32">
        <f t="shared" si="0"/>
        <v>230096963.99152741</v>
      </c>
      <c r="F43" s="31">
        <v>23110496.587432336</v>
      </c>
      <c r="G43" s="31">
        <v>263374088.02071077</v>
      </c>
      <c r="H43" s="32">
        <f t="shared" si="1"/>
        <v>286484584.60814309</v>
      </c>
      <c r="I43" s="30">
        <v>7982584.1374441041</v>
      </c>
      <c r="J43" s="31">
        <v>38323723.228995062</v>
      </c>
      <c r="K43" s="31">
        <f t="shared" si="2"/>
        <v>46306307.366439164</v>
      </c>
      <c r="L43" s="33">
        <f t="shared" si="3"/>
        <v>562887855.96610975</v>
      </c>
    </row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3:B4"/>
    <mergeCell ref="C3:L3"/>
    <mergeCell ref="C4:E4"/>
    <mergeCell ref="F4:H4"/>
    <mergeCell ref="I4:K4"/>
    <mergeCell ref="L4:L5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00"/>
  <sheetViews>
    <sheetView workbookViewId="0"/>
  </sheetViews>
  <sheetFormatPr defaultColWidth="14.42578125" defaultRowHeight="15" customHeight="1" x14ac:dyDescent="0.25"/>
  <cols>
    <col min="1" max="2" width="20.7109375" customWidth="1"/>
    <col min="3" max="12" width="15.7109375" customWidth="1"/>
    <col min="13" max="26" width="8.85546875" customWidth="1"/>
  </cols>
  <sheetData>
    <row r="1" spans="1:12" x14ac:dyDescent="0.25">
      <c r="A1" s="1" t="s">
        <v>110</v>
      </c>
    </row>
    <row r="2" spans="1:12" x14ac:dyDescent="0.25">
      <c r="D2" s="8"/>
    </row>
    <row r="3" spans="1:12" ht="31.5" customHeight="1" x14ac:dyDescent="0.25">
      <c r="A3" s="210" t="s">
        <v>98</v>
      </c>
      <c r="B3" s="211"/>
      <c r="C3" s="228" t="s">
        <v>111</v>
      </c>
      <c r="D3" s="229"/>
      <c r="E3" s="229"/>
      <c r="F3" s="229"/>
      <c r="G3" s="229"/>
      <c r="H3" s="229"/>
      <c r="I3" s="229"/>
      <c r="J3" s="229"/>
      <c r="K3" s="229"/>
      <c r="L3" s="230"/>
    </row>
    <row r="4" spans="1:12" ht="31.5" customHeight="1" x14ac:dyDescent="0.25">
      <c r="A4" s="226"/>
      <c r="B4" s="227"/>
      <c r="C4" s="228" t="s">
        <v>100</v>
      </c>
      <c r="D4" s="229"/>
      <c r="E4" s="230"/>
      <c r="F4" s="228" t="s">
        <v>101</v>
      </c>
      <c r="G4" s="229"/>
      <c r="H4" s="230"/>
      <c r="I4" s="228" t="s">
        <v>102</v>
      </c>
      <c r="J4" s="229"/>
      <c r="K4" s="230"/>
      <c r="L4" s="233" t="s">
        <v>103</v>
      </c>
    </row>
    <row r="5" spans="1:12" ht="64.5" customHeight="1" x14ac:dyDescent="0.25">
      <c r="A5" s="11" t="s">
        <v>8</v>
      </c>
      <c r="B5" s="16" t="s">
        <v>9</v>
      </c>
      <c r="C5" s="11" t="s">
        <v>112</v>
      </c>
      <c r="D5" s="12" t="s">
        <v>113</v>
      </c>
      <c r="E5" s="16" t="s">
        <v>114</v>
      </c>
      <c r="F5" s="11" t="s">
        <v>115</v>
      </c>
      <c r="G5" s="12" t="s">
        <v>116</v>
      </c>
      <c r="H5" s="16" t="s">
        <v>117</v>
      </c>
      <c r="I5" s="11" t="s">
        <v>118</v>
      </c>
      <c r="J5" s="12" t="s">
        <v>119</v>
      </c>
      <c r="K5" s="16" t="s">
        <v>120</v>
      </c>
      <c r="L5" s="234"/>
    </row>
    <row r="6" spans="1:12" ht="16.5" x14ac:dyDescent="0.3">
      <c r="A6" s="20" t="s">
        <v>25</v>
      </c>
      <c r="B6" s="21" t="s">
        <v>26</v>
      </c>
      <c r="C6" s="34">
        <v>0.6426161906600083</v>
      </c>
      <c r="D6" s="35">
        <v>7.049087705222018E-2</v>
      </c>
      <c r="E6" s="36">
        <v>0.71310706771222832</v>
      </c>
      <c r="F6" s="37">
        <v>0.18572607522178147</v>
      </c>
      <c r="G6" s="38">
        <v>7.667128793650678E-2</v>
      </c>
      <c r="H6" s="36">
        <v>0.26239736315828827</v>
      </c>
      <c r="I6" s="35">
        <v>2.449556912948327E-2</v>
      </c>
      <c r="J6" s="35">
        <v>0</v>
      </c>
      <c r="K6" s="35">
        <v>2.449556912948327E-2</v>
      </c>
      <c r="L6" s="39">
        <f t="shared" ref="L6:L43" si="0">E6+H6+K6</f>
        <v>0.99999999999999978</v>
      </c>
    </row>
    <row r="7" spans="1:12" ht="16.5" x14ac:dyDescent="0.3">
      <c r="A7" s="20" t="s">
        <v>27</v>
      </c>
      <c r="B7" s="21" t="s">
        <v>54</v>
      </c>
      <c r="C7" s="34">
        <v>0.92439106617194056</v>
      </c>
      <c r="D7" s="35">
        <v>4.209519448917576E-3</v>
      </c>
      <c r="E7" s="40">
        <v>0.92860058562085812</v>
      </c>
      <c r="F7" s="41">
        <v>5.741736755359618E-2</v>
      </c>
      <c r="G7" s="35">
        <v>7.0619437967634046E-3</v>
      </c>
      <c r="H7" s="40">
        <v>6.4479311350359586E-2</v>
      </c>
      <c r="I7" s="35">
        <v>6.5452508116082631E-3</v>
      </c>
      <c r="J7" s="35">
        <v>3.748522171740021E-4</v>
      </c>
      <c r="K7" s="35">
        <v>6.9201030287822643E-3</v>
      </c>
      <c r="L7" s="39">
        <f t="shared" si="0"/>
        <v>0.99999999999999989</v>
      </c>
    </row>
    <row r="8" spans="1:12" ht="16.5" x14ac:dyDescent="0.3">
      <c r="A8" s="20" t="s">
        <v>27</v>
      </c>
      <c r="B8" s="21" t="s">
        <v>28</v>
      </c>
      <c r="C8" s="34">
        <v>0.85925886537133855</v>
      </c>
      <c r="D8" s="35">
        <v>8.3573504400298912E-2</v>
      </c>
      <c r="E8" s="40">
        <v>0.94283236977163742</v>
      </c>
      <c r="F8" s="41">
        <v>5.3135380517669598E-2</v>
      </c>
      <c r="G8" s="35">
        <v>2.4435955578455001E-3</v>
      </c>
      <c r="H8" s="40">
        <v>5.5578976075515103E-2</v>
      </c>
      <c r="I8" s="35">
        <v>1.5886541528474264E-3</v>
      </c>
      <c r="J8" s="35">
        <v>0</v>
      </c>
      <c r="K8" s="35">
        <v>1.5886541528474264E-3</v>
      </c>
      <c r="L8" s="39">
        <f t="shared" si="0"/>
        <v>1</v>
      </c>
    </row>
    <row r="9" spans="1:12" ht="16.5" x14ac:dyDescent="0.3">
      <c r="A9" s="20" t="s">
        <v>27</v>
      </c>
      <c r="B9" s="21" t="s">
        <v>55</v>
      </c>
      <c r="C9" s="34">
        <v>0.8359649515258486</v>
      </c>
      <c r="D9" s="35">
        <v>1.9638824520493657E-4</v>
      </c>
      <c r="E9" s="40">
        <v>0.83616133977105356</v>
      </c>
      <c r="F9" s="41">
        <v>7.65404994949202E-2</v>
      </c>
      <c r="G9" s="35">
        <v>7.5256324942368669E-2</v>
      </c>
      <c r="H9" s="40">
        <v>0.15179682443728887</v>
      </c>
      <c r="I9" s="35">
        <v>1.0696355651054265E-2</v>
      </c>
      <c r="J9" s="35">
        <v>1.345480140603484E-3</v>
      </c>
      <c r="K9" s="35">
        <v>1.2041835791657749E-2</v>
      </c>
      <c r="L9" s="39">
        <f t="shared" si="0"/>
        <v>1.0000000000000002</v>
      </c>
    </row>
    <row r="10" spans="1:12" ht="16.5" x14ac:dyDescent="0.3">
      <c r="A10" s="20" t="s">
        <v>27</v>
      </c>
      <c r="B10" s="21" t="s">
        <v>56</v>
      </c>
      <c r="C10" s="34">
        <v>0.66760913441894054</v>
      </c>
      <c r="D10" s="35">
        <v>8.6029365427578983E-2</v>
      </c>
      <c r="E10" s="40">
        <v>0.75363849984651943</v>
      </c>
      <c r="F10" s="41">
        <v>0.21823422977097715</v>
      </c>
      <c r="G10" s="35">
        <v>2.5633999007272812E-2</v>
      </c>
      <c r="H10" s="40">
        <v>0.24386822877824996</v>
      </c>
      <c r="I10" s="35">
        <v>2.4932713752305988E-3</v>
      </c>
      <c r="J10" s="35">
        <v>0</v>
      </c>
      <c r="K10" s="35">
        <v>2.4932713752305988E-3</v>
      </c>
      <c r="L10" s="39">
        <f t="shared" si="0"/>
        <v>1</v>
      </c>
    </row>
    <row r="11" spans="1:12" ht="16.5" x14ac:dyDescent="0.3">
      <c r="A11" s="20" t="s">
        <v>57</v>
      </c>
      <c r="B11" s="21" t="s">
        <v>58</v>
      </c>
      <c r="C11" s="34">
        <v>0.80952411364328059</v>
      </c>
      <c r="D11" s="35">
        <v>2.1091066815184085E-2</v>
      </c>
      <c r="E11" s="40">
        <v>0.83061518045846472</v>
      </c>
      <c r="F11" s="41">
        <v>9.647804421372784E-2</v>
      </c>
      <c r="G11" s="35">
        <v>4.6644659052329375E-2</v>
      </c>
      <c r="H11" s="40">
        <v>0.14312270326605722</v>
      </c>
      <c r="I11" s="35">
        <v>1.0184701817492042E-2</v>
      </c>
      <c r="J11" s="35">
        <v>1.6077414457985894E-2</v>
      </c>
      <c r="K11" s="35">
        <v>2.6262116275477938E-2</v>
      </c>
      <c r="L11" s="39">
        <f t="shared" si="0"/>
        <v>0.99999999999999989</v>
      </c>
    </row>
    <row r="12" spans="1:12" ht="16.5" x14ac:dyDescent="0.3">
      <c r="A12" s="20" t="s">
        <v>57</v>
      </c>
      <c r="B12" s="21" t="s">
        <v>59</v>
      </c>
      <c r="C12" s="34">
        <v>0.87973181984423043</v>
      </c>
      <c r="D12" s="35">
        <v>1.7975100253656819E-2</v>
      </c>
      <c r="E12" s="40">
        <v>0.89770692009788722</v>
      </c>
      <c r="F12" s="41">
        <v>8.1533151280276162E-2</v>
      </c>
      <c r="G12" s="35">
        <v>4.2004933039972644E-3</v>
      </c>
      <c r="H12" s="40">
        <v>8.5733644584273419E-2</v>
      </c>
      <c r="I12" s="35">
        <v>5.5473268064822829E-3</v>
      </c>
      <c r="J12" s="35">
        <v>1.1012108511356972E-2</v>
      </c>
      <c r="K12" s="35">
        <v>1.6559435317839256E-2</v>
      </c>
      <c r="L12" s="39">
        <f t="shared" si="0"/>
        <v>0.99999999999999989</v>
      </c>
    </row>
    <row r="13" spans="1:12" ht="16.5" x14ac:dyDescent="0.3">
      <c r="A13" s="20" t="s">
        <v>57</v>
      </c>
      <c r="B13" s="21" t="s">
        <v>60</v>
      </c>
      <c r="C13" s="34">
        <v>0.87867883045936956</v>
      </c>
      <c r="D13" s="35">
        <v>2.3860886466338875E-2</v>
      </c>
      <c r="E13" s="40">
        <v>0.90253971692570834</v>
      </c>
      <c r="F13" s="41">
        <v>6.1500387049555467E-2</v>
      </c>
      <c r="G13" s="35">
        <v>3.0120459623282536E-3</v>
      </c>
      <c r="H13" s="40">
        <v>6.4512433011883724E-2</v>
      </c>
      <c r="I13" s="35">
        <v>1.4844742268887929E-2</v>
      </c>
      <c r="J13" s="35">
        <v>1.8103107793519986E-2</v>
      </c>
      <c r="K13" s="35">
        <v>3.2947850062407913E-2</v>
      </c>
      <c r="L13" s="39">
        <f t="shared" si="0"/>
        <v>1</v>
      </c>
    </row>
    <row r="14" spans="1:12" ht="16.5" x14ac:dyDescent="0.3">
      <c r="A14" s="20" t="s">
        <v>57</v>
      </c>
      <c r="B14" s="21" t="s">
        <v>61</v>
      </c>
      <c r="C14" s="34">
        <v>0.84078017263628291</v>
      </c>
      <c r="D14" s="35">
        <v>0</v>
      </c>
      <c r="E14" s="40">
        <v>0.84078017263628291</v>
      </c>
      <c r="F14" s="41">
        <v>8.0850497365438756E-2</v>
      </c>
      <c r="G14" s="35">
        <v>1.0672169057863754E-2</v>
      </c>
      <c r="H14" s="40">
        <v>9.1522666423302507E-2</v>
      </c>
      <c r="I14" s="35">
        <v>1.3044164658392487E-2</v>
      </c>
      <c r="J14" s="35">
        <v>5.4652996282022165E-2</v>
      </c>
      <c r="K14" s="35">
        <v>6.7697160940414641E-2</v>
      </c>
      <c r="L14" s="39">
        <f t="shared" si="0"/>
        <v>1</v>
      </c>
    </row>
    <row r="15" spans="1:12" ht="16.5" x14ac:dyDescent="0.3">
      <c r="A15" s="20" t="s">
        <v>62</v>
      </c>
      <c r="B15" s="21" t="s">
        <v>63</v>
      </c>
      <c r="C15" s="34">
        <v>0.85860552965226267</v>
      </c>
      <c r="D15" s="35">
        <v>0</v>
      </c>
      <c r="E15" s="40">
        <v>0.85860552965226267</v>
      </c>
      <c r="F15" s="41">
        <v>4.2254935590640447E-2</v>
      </c>
      <c r="G15" s="35">
        <v>0</v>
      </c>
      <c r="H15" s="40">
        <v>4.2254935590640447E-2</v>
      </c>
      <c r="I15" s="35">
        <v>6.4545480394665761E-2</v>
      </c>
      <c r="J15" s="35">
        <v>3.4594054362431126E-2</v>
      </c>
      <c r="K15" s="35">
        <v>9.9139534757096887E-2</v>
      </c>
      <c r="L15" s="39">
        <f t="shared" si="0"/>
        <v>1</v>
      </c>
    </row>
    <row r="16" spans="1:12" ht="16.5" x14ac:dyDescent="0.3">
      <c r="A16" s="20" t="s">
        <v>62</v>
      </c>
      <c r="B16" s="27" t="s">
        <v>64</v>
      </c>
      <c r="C16" s="34">
        <v>0.81668914724252883</v>
      </c>
      <c r="D16" s="35">
        <v>8.2785442858784527E-4</v>
      </c>
      <c r="E16" s="40">
        <v>0.81751700167111674</v>
      </c>
      <c r="F16" s="41">
        <v>8.5219251419293651E-2</v>
      </c>
      <c r="G16" s="35">
        <v>5.2329131038538401E-3</v>
      </c>
      <c r="H16" s="40">
        <v>9.0452164523147499E-2</v>
      </c>
      <c r="I16" s="35">
        <v>5.1940081186871677E-2</v>
      </c>
      <c r="J16" s="35">
        <v>4.0090752618864037E-2</v>
      </c>
      <c r="K16" s="35">
        <v>9.2030833805735721E-2</v>
      </c>
      <c r="L16" s="39">
        <f t="shared" si="0"/>
        <v>1</v>
      </c>
    </row>
    <row r="17" spans="1:12" ht="16.5" x14ac:dyDescent="0.3">
      <c r="A17" s="20" t="s">
        <v>62</v>
      </c>
      <c r="B17" s="21" t="s">
        <v>65</v>
      </c>
      <c r="C17" s="34">
        <v>0.80978881204167474</v>
      </c>
      <c r="D17" s="35">
        <v>1.2595530584554233E-3</v>
      </c>
      <c r="E17" s="40">
        <v>0.81104836510013023</v>
      </c>
      <c r="F17" s="41">
        <v>4.2351385768961497E-2</v>
      </c>
      <c r="G17" s="35">
        <v>1.281269490497758E-2</v>
      </c>
      <c r="H17" s="40">
        <v>5.5164080673939075E-2</v>
      </c>
      <c r="I17" s="35">
        <v>4.8782924282619385E-2</v>
      </c>
      <c r="J17" s="35">
        <v>4.0090752618864037E-2</v>
      </c>
      <c r="K17" s="35">
        <v>0.1337875542259308</v>
      </c>
      <c r="L17" s="39">
        <f t="shared" si="0"/>
        <v>1</v>
      </c>
    </row>
    <row r="18" spans="1:12" ht="16.5" x14ac:dyDescent="0.3">
      <c r="A18" s="20" t="s">
        <v>29</v>
      </c>
      <c r="B18" s="27" t="s">
        <v>64</v>
      </c>
      <c r="C18" s="34">
        <v>0.42808107748476804</v>
      </c>
      <c r="D18" s="35">
        <v>9.847738857507388E-3</v>
      </c>
      <c r="E18" s="40">
        <v>0.43792881634227543</v>
      </c>
      <c r="F18" s="41">
        <v>0.22721748325731494</v>
      </c>
      <c r="G18" s="35">
        <v>0.32113317533847791</v>
      </c>
      <c r="H18" s="40">
        <v>0.54835065859579291</v>
      </c>
      <c r="I18" s="35">
        <v>1.3564652372728537E-2</v>
      </c>
      <c r="J18" s="35">
        <v>1.5587268920304811E-4</v>
      </c>
      <c r="K18" s="35">
        <v>1.3720525061931586E-2</v>
      </c>
      <c r="L18" s="39">
        <f t="shared" si="0"/>
        <v>0.99999999999999989</v>
      </c>
    </row>
    <row r="19" spans="1:12" ht="16.5" x14ac:dyDescent="0.3">
      <c r="A19" s="20" t="s">
        <v>29</v>
      </c>
      <c r="B19" s="21" t="s">
        <v>30</v>
      </c>
      <c r="C19" s="34">
        <v>0.43572705596943273</v>
      </c>
      <c r="D19" s="35">
        <v>8.3819010779757175E-2</v>
      </c>
      <c r="E19" s="40">
        <v>0.51954606674918991</v>
      </c>
      <c r="F19" s="41">
        <v>0.33495918991123191</v>
      </c>
      <c r="G19" s="35">
        <v>0.10115359075999186</v>
      </c>
      <c r="H19" s="40">
        <v>0.43611278067122378</v>
      </c>
      <c r="I19" s="35">
        <v>4.4341152579586346E-2</v>
      </c>
      <c r="J19" s="35">
        <v>0</v>
      </c>
      <c r="K19" s="35">
        <v>4.4341152579586346E-2</v>
      </c>
      <c r="L19" s="39">
        <f t="shared" si="0"/>
        <v>1</v>
      </c>
    </row>
    <row r="20" spans="1:12" ht="16.5" x14ac:dyDescent="0.3">
      <c r="A20" s="20" t="s">
        <v>66</v>
      </c>
      <c r="B20" s="21" t="s">
        <v>67</v>
      </c>
      <c r="C20" s="34">
        <v>0.83686725038295273</v>
      </c>
      <c r="D20" s="35">
        <v>2.7176431383015491E-3</v>
      </c>
      <c r="E20" s="40">
        <v>0.83958489352125432</v>
      </c>
      <c r="F20" s="41">
        <v>5.0890395991479043E-2</v>
      </c>
      <c r="G20" s="35">
        <v>3.5908846428709782E-3</v>
      </c>
      <c r="H20" s="40">
        <v>5.4481280634350024E-2</v>
      </c>
      <c r="I20" s="35">
        <v>1.0563011758582111E-2</v>
      </c>
      <c r="J20" s="35">
        <v>9.5370814085813521E-2</v>
      </c>
      <c r="K20" s="35">
        <v>0.10593382584439563</v>
      </c>
      <c r="L20" s="39">
        <f t="shared" si="0"/>
        <v>0.99999999999999989</v>
      </c>
    </row>
    <row r="21" spans="1:12" ht="15.75" customHeight="1" x14ac:dyDescent="0.3">
      <c r="A21" s="20" t="s">
        <v>31</v>
      </c>
      <c r="B21" s="21" t="s">
        <v>32</v>
      </c>
      <c r="C21" s="34">
        <v>0.79401963014569454</v>
      </c>
      <c r="D21" s="35">
        <v>1.0521751352733984E-2</v>
      </c>
      <c r="E21" s="40">
        <v>0.80454138149842858</v>
      </c>
      <c r="F21" s="41">
        <v>0.1450570638351858</v>
      </c>
      <c r="G21" s="35">
        <v>4.0965397131442857E-2</v>
      </c>
      <c r="H21" s="40">
        <v>0.18602246096662864</v>
      </c>
      <c r="I21" s="35">
        <v>8.1763358607605079E-3</v>
      </c>
      <c r="J21" s="35">
        <v>1.2598216741822722E-3</v>
      </c>
      <c r="K21" s="35">
        <v>9.4361575349427799E-3</v>
      </c>
      <c r="L21" s="39">
        <f t="shared" si="0"/>
        <v>1</v>
      </c>
    </row>
    <row r="22" spans="1:12" ht="15.75" customHeight="1" x14ac:dyDescent="0.3">
      <c r="A22" s="20" t="s">
        <v>31</v>
      </c>
      <c r="B22" s="21" t="s">
        <v>33</v>
      </c>
      <c r="C22" s="34">
        <v>0.81109179211778826</v>
      </c>
      <c r="D22" s="35">
        <v>5.7284672186138356E-2</v>
      </c>
      <c r="E22" s="40">
        <v>0.86837646430392657</v>
      </c>
      <c r="F22" s="41">
        <v>9.9481391368456268E-2</v>
      </c>
      <c r="G22" s="35">
        <v>1.2368481227557855E-2</v>
      </c>
      <c r="H22" s="40">
        <v>0.11184987259601412</v>
      </c>
      <c r="I22" s="35">
        <v>1.7351145954393524E-2</v>
      </c>
      <c r="J22" s="35">
        <v>2.4225171456657302E-3</v>
      </c>
      <c r="K22" s="35">
        <v>1.9773663100059253E-2</v>
      </c>
      <c r="L22" s="39">
        <f t="shared" si="0"/>
        <v>0.99999999999999989</v>
      </c>
    </row>
    <row r="23" spans="1:12" ht="15.75" customHeight="1" x14ac:dyDescent="0.3">
      <c r="A23" s="20" t="s">
        <v>31</v>
      </c>
      <c r="B23" s="21" t="s">
        <v>34</v>
      </c>
      <c r="C23" s="34">
        <v>0.79550411926405229</v>
      </c>
      <c r="D23" s="35">
        <v>2.0042819268141679E-2</v>
      </c>
      <c r="E23" s="40">
        <v>0.81554693853219395</v>
      </c>
      <c r="F23" s="41">
        <v>6.514058681074579E-2</v>
      </c>
      <c r="G23" s="35">
        <v>0.10907519861845501</v>
      </c>
      <c r="H23" s="40">
        <v>0.1742157854292008</v>
      </c>
      <c r="I23" s="35">
        <v>1.0237276038605296E-2</v>
      </c>
      <c r="J23" s="35">
        <v>0</v>
      </c>
      <c r="K23" s="35">
        <v>1.0237276038605296E-2</v>
      </c>
      <c r="L23" s="39">
        <f t="shared" si="0"/>
        <v>1</v>
      </c>
    </row>
    <row r="24" spans="1:12" ht="15.75" customHeight="1" x14ac:dyDescent="0.3">
      <c r="A24" s="20" t="s">
        <v>31</v>
      </c>
      <c r="B24" s="21" t="s">
        <v>35</v>
      </c>
      <c r="C24" s="34">
        <v>0.75492559767776013</v>
      </c>
      <c r="D24" s="35">
        <v>7.7939921926497666E-2</v>
      </c>
      <c r="E24" s="40">
        <v>0.83286551960425792</v>
      </c>
      <c r="F24" s="41">
        <v>7.4543374443078347E-2</v>
      </c>
      <c r="G24" s="35">
        <v>6.9136561556493448E-2</v>
      </c>
      <c r="H24" s="40">
        <v>0.1436799359995718</v>
      </c>
      <c r="I24" s="35">
        <v>2.3386820224600976E-2</v>
      </c>
      <c r="J24" s="35">
        <v>6.7724171569175551E-5</v>
      </c>
      <c r="K24" s="35">
        <v>2.345454439617015E-2</v>
      </c>
      <c r="L24" s="39">
        <f t="shared" si="0"/>
        <v>0.99999999999999989</v>
      </c>
    </row>
    <row r="25" spans="1:12" ht="15.75" customHeight="1" x14ac:dyDescent="0.3">
      <c r="A25" s="20" t="s">
        <v>31</v>
      </c>
      <c r="B25" s="21" t="s">
        <v>36</v>
      </c>
      <c r="C25" s="34">
        <v>0.83321783503693314</v>
      </c>
      <c r="D25" s="35">
        <v>3.6920234838300835E-2</v>
      </c>
      <c r="E25" s="40">
        <v>0.87013806987523401</v>
      </c>
      <c r="F25" s="41">
        <v>5.6826816216225505E-2</v>
      </c>
      <c r="G25" s="35">
        <v>6.5273323983177117E-2</v>
      </c>
      <c r="H25" s="40">
        <v>0.12210014019940263</v>
      </c>
      <c r="I25" s="35">
        <v>7.7617899253633049E-3</v>
      </c>
      <c r="J25" s="35">
        <v>0</v>
      </c>
      <c r="K25" s="35">
        <v>7.7617899253633049E-3</v>
      </c>
      <c r="L25" s="39">
        <f t="shared" si="0"/>
        <v>1</v>
      </c>
    </row>
    <row r="26" spans="1:12" ht="15.75" customHeight="1" x14ac:dyDescent="0.3">
      <c r="A26" s="20" t="s">
        <v>31</v>
      </c>
      <c r="B26" s="21" t="s">
        <v>37</v>
      </c>
      <c r="C26" s="34">
        <v>0.64647359870897214</v>
      </c>
      <c r="D26" s="35">
        <v>6.080625395156572E-2</v>
      </c>
      <c r="E26" s="40">
        <v>0.70727985266053794</v>
      </c>
      <c r="F26" s="41">
        <v>0.19328853375488797</v>
      </c>
      <c r="G26" s="35">
        <v>8.6663743125415124E-2</v>
      </c>
      <c r="H26" s="40">
        <v>0.27995227688030311</v>
      </c>
      <c r="I26" s="35">
        <v>1.2767870459158975E-2</v>
      </c>
      <c r="J26" s="35">
        <v>0</v>
      </c>
      <c r="K26" s="35">
        <v>1.2767870459158975E-2</v>
      </c>
      <c r="L26" s="39">
        <f t="shared" si="0"/>
        <v>1</v>
      </c>
    </row>
    <row r="27" spans="1:12" ht="15.75" customHeight="1" x14ac:dyDescent="0.3">
      <c r="A27" s="20" t="s">
        <v>38</v>
      </c>
      <c r="B27" s="21" t="s">
        <v>39</v>
      </c>
      <c r="C27" s="34">
        <v>0.84737877778741422</v>
      </c>
      <c r="D27" s="35">
        <v>2.2709246038127941E-2</v>
      </c>
      <c r="E27" s="40">
        <v>0.87008802382554207</v>
      </c>
      <c r="F27" s="41">
        <v>0.11005946281384907</v>
      </c>
      <c r="G27" s="35">
        <v>5.1945761022133942E-3</v>
      </c>
      <c r="H27" s="40">
        <v>0.11525403891606247</v>
      </c>
      <c r="I27" s="35">
        <v>1.4657937258395481E-2</v>
      </c>
      <c r="J27" s="35">
        <v>0</v>
      </c>
      <c r="K27" s="35">
        <v>1.4657937258395481E-2</v>
      </c>
      <c r="L27" s="39">
        <f t="shared" si="0"/>
        <v>1</v>
      </c>
    </row>
    <row r="28" spans="1:12" ht="15.75" customHeight="1" x14ac:dyDescent="0.3">
      <c r="A28" s="20" t="s">
        <v>38</v>
      </c>
      <c r="B28" s="21" t="s">
        <v>40</v>
      </c>
      <c r="C28" s="34">
        <v>0.91194113728713044</v>
      </c>
      <c r="D28" s="35">
        <v>0</v>
      </c>
      <c r="E28" s="40">
        <v>0.91194113728713044</v>
      </c>
      <c r="F28" s="41">
        <v>7.3517326066170827E-2</v>
      </c>
      <c r="G28" s="35">
        <v>3.5700226287697996E-3</v>
      </c>
      <c r="H28" s="40">
        <v>7.7087348694940619E-2</v>
      </c>
      <c r="I28" s="35">
        <v>4.9041587333499524E-3</v>
      </c>
      <c r="J28" s="35">
        <v>6.067355284578935E-3</v>
      </c>
      <c r="K28" s="35">
        <v>1.0971514017928886E-2</v>
      </c>
      <c r="L28" s="39">
        <f t="shared" si="0"/>
        <v>0.99999999999999989</v>
      </c>
    </row>
    <row r="29" spans="1:12" ht="15.75" customHeight="1" x14ac:dyDescent="0.3">
      <c r="A29" s="20" t="s">
        <v>38</v>
      </c>
      <c r="B29" s="21" t="s">
        <v>68</v>
      </c>
      <c r="C29" s="34">
        <v>0.82578589949060899</v>
      </c>
      <c r="D29" s="35">
        <v>4.5572891565989503E-2</v>
      </c>
      <c r="E29" s="40">
        <v>0.87135879105659853</v>
      </c>
      <c r="F29" s="41">
        <v>0.11377195124953809</v>
      </c>
      <c r="G29" s="35">
        <v>0</v>
      </c>
      <c r="H29" s="40">
        <v>0.11377195124953809</v>
      </c>
      <c r="I29" s="35">
        <v>1.3714433680293873E-2</v>
      </c>
      <c r="J29" s="35">
        <v>1.1548240135695487E-3</v>
      </c>
      <c r="K29" s="35">
        <v>1.4869257693863422E-2</v>
      </c>
      <c r="L29" s="39">
        <f t="shared" si="0"/>
        <v>1</v>
      </c>
    </row>
    <row r="30" spans="1:12" ht="15.75" customHeight="1" x14ac:dyDescent="0.3">
      <c r="A30" s="20" t="s">
        <v>38</v>
      </c>
      <c r="B30" s="21" t="s">
        <v>69</v>
      </c>
      <c r="C30" s="34">
        <v>0.79286521856462144</v>
      </c>
      <c r="D30" s="35">
        <v>6.0675319816804974E-3</v>
      </c>
      <c r="E30" s="40">
        <v>0.79893275054630197</v>
      </c>
      <c r="F30" s="41">
        <v>0.17585162702019685</v>
      </c>
      <c r="G30" s="35">
        <v>0</v>
      </c>
      <c r="H30" s="40">
        <v>0.17585162702019685</v>
      </c>
      <c r="I30" s="35">
        <v>2.5215622433501193E-2</v>
      </c>
      <c r="J30" s="35">
        <v>0</v>
      </c>
      <c r="K30" s="35">
        <v>2.5215622433501193E-2</v>
      </c>
      <c r="L30" s="39">
        <f t="shared" si="0"/>
        <v>1</v>
      </c>
    </row>
    <row r="31" spans="1:12" ht="15.75" customHeight="1" x14ac:dyDescent="0.3">
      <c r="A31" s="20" t="s">
        <v>70</v>
      </c>
      <c r="B31" s="21" t="s">
        <v>71</v>
      </c>
      <c r="C31" s="34">
        <v>0.7948206855265898</v>
      </c>
      <c r="D31" s="35">
        <v>4.8330214764796247E-3</v>
      </c>
      <c r="E31" s="40">
        <v>0.79965370700306948</v>
      </c>
      <c r="F31" s="41">
        <v>0.15763225943202458</v>
      </c>
      <c r="G31" s="35">
        <v>3.1153553910884802E-2</v>
      </c>
      <c r="H31" s="40">
        <v>0.18878581334290939</v>
      </c>
      <c r="I31" s="35">
        <v>1.0113428379511194E-2</v>
      </c>
      <c r="J31" s="35">
        <v>1.4470512745098768E-3</v>
      </c>
      <c r="K31" s="35">
        <v>1.1560479654021068E-2</v>
      </c>
      <c r="L31" s="39">
        <f t="shared" si="0"/>
        <v>0.99999999999999989</v>
      </c>
    </row>
    <row r="32" spans="1:12" ht="15.75" customHeight="1" x14ac:dyDescent="0.3">
      <c r="A32" s="20" t="s">
        <v>70</v>
      </c>
      <c r="B32" s="21" t="s">
        <v>72</v>
      </c>
      <c r="C32" s="34">
        <v>0.83644056176047765</v>
      </c>
      <c r="D32" s="35">
        <v>2.7274650742747611E-2</v>
      </c>
      <c r="E32" s="40">
        <v>0.86371521250322525</v>
      </c>
      <c r="F32" s="41">
        <v>8.283512108813447E-2</v>
      </c>
      <c r="G32" s="35">
        <v>4.4050573187364071E-2</v>
      </c>
      <c r="H32" s="40">
        <v>0.12688569427549853</v>
      </c>
      <c r="I32" s="35">
        <v>5.6394264440266873E-3</v>
      </c>
      <c r="J32" s="35">
        <v>3.7596667772494376E-3</v>
      </c>
      <c r="K32" s="35">
        <v>9.3990932212761249E-3</v>
      </c>
      <c r="L32" s="39">
        <f t="shared" si="0"/>
        <v>0.99999999999999989</v>
      </c>
    </row>
    <row r="33" spans="1:12" ht="15.75" customHeight="1" x14ac:dyDescent="0.3">
      <c r="A33" s="20" t="s">
        <v>41</v>
      </c>
      <c r="B33" s="21" t="s">
        <v>73</v>
      </c>
      <c r="C33" s="34">
        <v>0.72652676599272747</v>
      </c>
      <c r="D33" s="35">
        <v>7.0472480447712663E-2</v>
      </c>
      <c r="E33" s="40">
        <v>0.79699924644044018</v>
      </c>
      <c r="F33" s="41">
        <v>0.1554697831792447</v>
      </c>
      <c r="G33" s="35">
        <v>3.0184472151575787E-2</v>
      </c>
      <c r="H33" s="40">
        <v>0.1856542553308205</v>
      </c>
      <c r="I33" s="35">
        <v>1.7346498228739404E-2</v>
      </c>
      <c r="J33" s="35">
        <v>0</v>
      </c>
      <c r="K33" s="35">
        <v>1.7346498228739404E-2</v>
      </c>
      <c r="L33" s="39">
        <f t="shared" si="0"/>
        <v>1</v>
      </c>
    </row>
    <row r="34" spans="1:12" ht="15.75" customHeight="1" x14ac:dyDescent="0.3">
      <c r="A34" s="20" t="s">
        <v>41</v>
      </c>
      <c r="B34" s="21" t="s">
        <v>42</v>
      </c>
      <c r="C34" s="34">
        <v>0.56943961308496382</v>
      </c>
      <c r="D34" s="35">
        <v>7.888985177280837E-2</v>
      </c>
      <c r="E34" s="40">
        <v>0.6483294648577721</v>
      </c>
      <c r="F34" s="41">
        <v>0.26753237049272405</v>
      </c>
      <c r="G34" s="35">
        <v>7.6414342809825342E-2</v>
      </c>
      <c r="H34" s="40">
        <v>0.34394671330254939</v>
      </c>
      <c r="I34" s="35">
        <v>7.7238218396784445E-3</v>
      </c>
      <c r="J34" s="35">
        <v>0</v>
      </c>
      <c r="K34" s="35">
        <v>7.7238218396784445E-3</v>
      </c>
      <c r="L34" s="39">
        <f t="shared" si="0"/>
        <v>1</v>
      </c>
    </row>
    <row r="35" spans="1:12" ht="15.75" customHeight="1" x14ac:dyDescent="0.3">
      <c r="A35" s="20" t="s">
        <v>41</v>
      </c>
      <c r="B35" s="21" t="s">
        <v>43</v>
      </c>
      <c r="C35" s="34">
        <v>0.85076297533680567</v>
      </c>
      <c r="D35" s="35">
        <v>2.1676209421043237E-2</v>
      </c>
      <c r="E35" s="40">
        <v>0.87243918475784887</v>
      </c>
      <c r="F35" s="41">
        <v>9.2817735338340854E-2</v>
      </c>
      <c r="G35" s="35">
        <v>3.1221661690861487E-2</v>
      </c>
      <c r="H35" s="40">
        <v>0.12403939702920233</v>
      </c>
      <c r="I35" s="35">
        <v>3.5214182129488865E-3</v>
      </c>
      <c r="J35" s="35">
        <v>0</v>
      </c>
      <c r="K35" s="35">
        <v>3.5214182129488865E-3</v>
      </c>
      <c r="L35" s="39">
        <f t="shared" si="0"/>
        <v>1</v>
      </c>
    </row>
    <row r="36" spans="1:12" ht="15.75" customHeight="1" x14ac:dyDescent="0.3">
      <c r="A36" s="20" t="s">
        <v>41</v>
      </c>
      <c r="B36" s="21" t="s">
        <v>44</v>
      </c>
      <c r="C36" s="34">
        <v>0.72195954649793115</v>
      </c>
      <c r="D36" s="35">
        <v>1.6742593207451254E-2</v>
      </c>
      <c r="E36" s="40">
        <v>0.73870213970538245</v>
      </c>
      <c r="F36" s="41">
        <v>0.20972865842825084</v>
      </c>
      <c r="G36" s="35">
        <v>4.1375507895123592E-2</v>
      </c>
      <c r="H36" s="40">
        <v>0.25110416632337446</v>
      </c>
      <c r="I36" s="35">
        <v>9.9074001641043588E-3</v>
      </c>
      <c r="J36" s="35">
        <v>2.8629380713882796E-4</v>
      </c>
      <c r="K36" s="35">
        <v>1.0193693971243187E-2</v>
      </c>
      <c r="L36" s="39">
        <f t="shared" si="0"/>
        <v>1.0000000000000002</v>
      </c>
    </row>
    <row r="37" spans="1:12" ht="15.75" customHeight="1" x14ac:dyDescent="0.3">
      <c r="A37" s="20" t="s">
        <v>41</v>
      </c>
      <c r="B37" s="21" t="s">
        <v>74</v>
      </c>
      <c r="C37" s="34">
        <v>0.74878295128786587</v>
      </c>
      <c r="D37" s="35">
        <v>3.798366129038775E-2</v>
      </c>
      <c r="E37" s="40">
        <v>0.78676661257825364</v>
      </c>
      <c r="F37" s="41">
        <v>0.17183727175731564</v>
      </c>
      <c r="G37" s="35">
        <v>3.237069109970292E-2</v>
      </c>
      <c r="H37" s="40">
        <v>0.20420796285701859</v>
      </c>
      <c r="I37" s="35">
        <v>9.0243549974579947E-3</v>
      </c>
      <c r="J37" s="35">
        <v>1.0695672697203842E-6</v>
      </c>
      <c r="K37" s="35">
        <v>9.0254245647277149E-3</v>
      </c>
      <c r="L37" s="39">
        <f t="shared" si="0"/>
        <v>1</v>
      </c>
    </row>
    <row r="38" spans="1:12" ht="15.75" customHeight="1" x14ac:dyDescent="0.3">
      <c r="A38" s="20" t="s">
        <v>45</v>
      </c>
      <c r="B38" s="21" t="s">
        <v>75</v>
      </c>
      <c r="C38" s="34">
        <v>0.72422952663434814</v>
      </c>
      <c r="D38" s="35">
        <v>9.4185691619164576E-3</v>
      </c>
      <c r="E38" s="40">
        <v>0.73364809579626467</v>
      </c>
      <c r="F38" s="41">
        <v>0.20337763276174731</v>
      </c>
      <c r="G38" s="35">
        <v>5.2312020126654722E-2</v>
      </c>
      <c r="H38" s="40">
        <v>0.25568965288840201</v>
      </c>
      <c r="I38" s="35">
        <v>1.0209990447874092E-2</v>
      </c>
      <c r="J38" s="35">
        <v>4.5226086745930421E-4</v>
      </c>
      <c r="K38" s="35">
        <v>1.0662251315333396E-2</v>
      </c>
      <c r="L38" s="39">
        <f t="shared" si="0"/>
        <v>1</v>
      </c>
    </row>
    <row r="39" spans="1:12" ht="15.75" customHeight="1" x14ac:dyDescent="0.3">
      <c r="A39" s="20" t="s">
        <v>45</v>
      </c>
      <c r="B39" s="21" t="s">
        <v>46</v>
      </c>
      <c r="C39" s="34">
        <v>0.65992056699628077</v>
      </c>
      <c r="D39" s="35">
        <v>6.4973789829194717E-2</v>
      </c>
      <c r="E39" s="40">
        <v>0.72489435682547543</v>
      </c>
      <c r="F39" s="41">
        <v>0.15647598198141549</v>
      </c>
      <c r="G39" s="35">
        <v>9.8179765896395613E-2</v>
      </c>
      <c r="H39" s="40">
        <v>0.25465574787781114</v>
      </c>
      <c r="I39" s="35">
        <v>1.5365305087055947E-2</v>
      </c>
      <c r="J39" s="35">
        <v>5.0845902096573201E-3</v>
      </c>
      <c r="K39" s="35">
        <v>2.0449895296713268E-2</v>
      </c>
      <c r="L39" s="39">
        <f t="shared" si="0"/>
        <v>0.99999999999999989</v>
      </c>
    </row>
    <row r="40" spans="1:12" ht="15.75" customHeight="1" x14ac:dyDescent="0.3">
      <c r="A40" s="20" t="s">
        <v>45</v>
      </c>
      <c r="B40" s="21" t="s">
        <v>47</v>
      </c>
      <c r="C40" s="34">
        <v>0.84275538614897505</v>
      </c>
      <c r="D40" s="35">
        <v>1.3050393304681407E-2</v>
      </c>
      <c r="E40" s="40">
        <v>0.85580577945365643</v>
      </c>
      <c r="F40" s="41">
        <v>9.7620529866003058E-2</v>
      </c>
      <c r="G40" s="35">
        <v>3.7260087418014919E-2</v>
      </c>
      <c r="H40" s="40">
        <v>0.13488061728401798</v>
      </c>
      <c r="I40" s="35">
        <v>9.3136032623255208E-3</v>
      </c>
      <c r="J40" s="35">
        <v>0</v>
      </c>
      <c r="K40" s="35">
        <v>9.3136032623255208E-3</v>
      </c>
      <c r="L40" s="39">
        <f t="shared" si="0"/>
        <v>1</v>
      </c>
    </row>
    <row r="41" spans="1:12" ht="15.75" customHeight="1" x14ac:dyDescent="0.3">
      <c r="A41" s="20" t="s">
        <v>48</v>
      </c>
      <c r="B41" s="21" t="s">
        <v>49</v>
      </c>
      <c r="C41" s="34">
        <v>0.49286232139198721</v>
      </c>
      <c r="D41" s="35">
        <v>2.5469238504380005E-2</v>
      </c>
      <c r="E41" s="40">
        <v>0.51833155989636726</v>
      </c>
      <c r="F41" s="41">
        <v>0.12830559886349338</v>
      </c>
      <c r="G41" s="35">
        <v>0.32136523614147722</v>
      </c>
      <c r="H41" s="40">
        <v>0.44967083500497057</v>
      </c>
      <c r="I41" s="35">
        <v>3.1997605098662167E-2</v>
      </c>
      <c r="J41" s="35">
        <v>0</v>
      </c>
      <c r="K41" s="35">
        <v>3.1997605098662167E-2</v>
      </c>
      <c r="L41" s="39">
        <f t="shared" si="0"/>
        <v>1</v>
      </c>
    </row>
    <row r="42" spans="1:12" ht="15.75" customHeight="1" x14ac:dyDescent="0.3">
      <c r="A42" s="20" t="s">
        <v>48</v>
      </c>
      <c r="B42" s="21" t="s">
        <v>50</v>
      </c>
      <c r="C42" s="34">
        <v>0.67930350111815607</v>
      </c>
      <c r="D42" s="35">
        <v>4.8020850795998028E-2</v>
      </c>
      <c r="E42" s="40">
        <v>0.72732435191415412</v>
      </c>
      <c r="F42" s="41">
        <v>8.8568766444214797E-2</v>
      </c>
      <c r="G42" s="35">
        <v>0.17419931295507254</v>
      </c>
      <c r="H42" s="40">
        <v>0.26276807939928737</v>
      </c>
      <c r="I42" s="35">
        <v>9.90756868655851E-3</v>
      </c>
      <c r="J42" s="35">
        <v>0</v>
      </c>
      <c r="K42" s="35">
        <v>9.90756868655851E-3</v>
      </c>
      <c r="L42" s="39">
        <f t="shared" si="0"/>
        <v>1</v>
      </c>
    </row>
    <row r="43" spans="1:12" ht="15.75" customHeight="1" x14ac:dyDescent="0.3">
      <c r="A43" s="28" t="s">
        <v>76</v>
      </c>
      <c r="B43" s="29" t="s">
        <v>77</v>
      </c>
      <c r="C43" s="42">
        <v>0.40877940703943888</v>
      </c>
      <c r="D43" s="43">
        <v>0</v>
      </c>
      <c r="E43" s="44">
        <v>0.40877940703943888</v>
      </c>
      <c r="F43" s="45">
        <v>4.1057017561280926E-2</v>
      </c>
      <c r="G43" s="43">
        <v>0.46789797511028192</v>
      </c>
      <c r="H43" s="44">
        <v>0.50895499267156286</v>
      </c>
      <c r="I43" s="43">
        <v>1.4181482248792232E-2</v>
      </c>
      <c r="J43" s="43">
        <v>6.8084118040205949E-2</v>
      </c>
      <c r="K43" s="44">
        <v>8.2265600288998181E-2</v>
      </c>
      <c r="L43" s="46">
        <f t="shared" si="0"/>
        <v>0.99999999999999989</v>
      </c>
    </row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3:B4"/>
    <mergeCell ref="C3:L3"/>
    <mergeCell ref="C4:E4"/>
    <mergeCell ref="F4:H4"/>
    <mergeCell ref="I4:K4"/>
    <mergeCell ref="L4:L5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00"/>
  <sheetViews>
    <sheetView workbookViewId="0"/>
  </sheetViews>
  <sheetFormatPr defaultColWidth="14.42578125" defaultRowHeight="15" customHeight="1" x14ac:dyDescent="0.25"/>
  <cols>
    <col min="1" max="2" width="20.7109375" customWidth="1"/>
    <col min="3" max="12" width="15.7109375" customWidth="1"/>
    <col min="13" max="26" width="8.85546875" customWidth="1"/>
  </cols>
  <sheetData>
    <row r="1" spans="1:12" x14ac:dyDescent="0.25">
      <c r="A1" s="1" t="s">
        <v>121</v>
      </c>
    </row>
    <row r="2" spans="1:12" x14ac:dyDescent="0.25">
      <c r="C2" s="8"/>
    </row>
    <row r="3" spans="1:12" ht="31.5" customHeight="1" x14ac:dyDescent="0.25">
      <c r="A3" s="210" t="s">
        <v>98</v>
      </c>
      <c r="B3" s="211"/>
      <c r="C3" s="228" t="s">
        <v>122</v>
      </c>
      <c r="D3" s="229"/>
      <c r="E3" s="229"/>
      <c r="F3" s="229"/>
      <c r="G3" s="229"/>
      <c r="H3" s="229"/>
      <c r="I3" s="229"/>
      <c r="J3" s="229"/>
      <c r="K3" s="229"/>
      <c r="L3" s="230"/>
    </row>
    <row r="4" spans="1:12" ht="31.5" customHeight="1" x14ac:dyDescent="0.25">
      <c r="A4" s="226"/>
      <c r="B4" s="227"/>
      <c r="C4" s="223" t="s">
        <v>123</v>
      </c>
      <c r="D4" s="221"/>
      <c r="E4" s="209"/>
      <c r="F4" s="223" t="s">
        <v>124</v>
      </c>
      <c r="G4" s="221"/>
      <c r="H4" s="209"/>
      <c r="I4" s="220" t="s">
        <v>125</v>
      </c>
      <c r="J4" s="221"/>
      <c r="K4" s="221"/>
      <c r="L4" s="231" t="s">
        <v>126</v>
      </c>
    </row>
    <row r="5" spans="1:12" ht="64.5" customHeight="1" x14ac:dyDescent="0.25">
      <c r="A5" s="11" t="s">
        <v>8</v>
      </c>
      <c r="B5" s="16" t="s">
        <v>9</v>
      </c>
      <c r="C5" s="13" t="s">
        <v>100</v>
      </c>
      <c r="D5" s="14" t="s">
        <v>104</v>
      </c>
      <c r="E5" s="15" t="s">
        <v>105</v>
      </c>
      <c r="F5" s="12" t="s">
        <v>106</v>
      </c>
      <c r="G5" s="12" t="s">
        <v>107</v>
      </c>
      <c r="H5" s="16" t="s">
        <v>105</v>
      </c>
      <c r="I5" s="12" t="s">
        <v>108</v>
      </c>
      <c r="J5" s="12" t="s">
        <v>109</v>
      </c>
      <c r="K5" s="12" t="s">
        <v>105</v>
      </c>
      <c r="L5" s="232"/>
    </row>
    <row r="6" spans="1:12" ht="16.5" x14ac:dyDescent="0.3">
      <c r="A6" s="20" t="s">
        <v>25</v>
      </c>
      <c r="B6" s="21" t="s">
        <v>26</v>
      </c>
      <c r="C6" s="47">
        <v>5077</v>
      </c>
      <c r="D6" s="48">
        <v>22</v>
      </c>
      <c r="E6" s="49">
        <f t="shared" ref="E6:E43" si="0">C6+D6</f>
        <v>5099</v>
      </c>
      <c r="F6" s="47">
        <v>352</v>
      </c>
      <c r="G6" s="48">
        <v>81</v>
      </c>
      <c r="H6" s="49">
        <f t="shared" ref="H6:H43" si="1">F6+G6</f>
        <v>433</v>
      </c>
      <c r="I6" s="48">
        <v>446</v>
      </c>
      <c r="J6" s="50">
        <v>0</v>
      </c>
      <c r="K6" s="51">
        <f t="shared" ref="K6:K43" si="2">I6+J6</f>
        <v>446</v>
      </c>
      <c r="L6" s="52">
        <f t="shared" ref="L6:L43" si="3">E6+H6+K6</f>
        <v>5978</v>
      </c>
    </row>
    <row r="7" spans="1:12" ht="16.5" x14ac:dyDescent="0.3">
      <c r="A7" s="20" t="s">
        <v>27</v>
      </c>
      <c r="B7" s="21" t="s">
        <v>54</v>
      </c>
      <c r="C7" s="47">
        <v>3308</v>
      </c>
      <c r="D7" s="48">
        <v>4</v>
      </c>
      <c r="E7" s="53">
        <f t="shared" si="0"/>
        <v>3312</v>
      </c>
      <c r="F7" s="47">
        <v>98</v>
      </c>
      <c r="G7" s="48">
        <v>12</v>
      </c>
      <c r="H7" s="53">
        <f t="shared" si="1"/>
        <v>110</v>
      </c>
      <c r="I7" s="48">
        <v>72</v>
      </c>
      <c r="J7" s="50">
        <v>4</v>
      </c>
      <c r="K7" s="54">
        <f t="shared" si="2"/>
        <v>76</v>
      </c>
      <c r="L7" s="55">
        <f t="shared" si="3"/>
        <v>3498</v>
      </c>
    </row>
    <row r="8" spans="1:12" ht="16.5" x14ac:dyDescent="0.3">
      <c r="A8" s="20" t="s">
        <v>27</v>
      </c>
      <c r="B8" s="21" t="s">
        <v>28</v>
      </c>
      <c r="C8" s="47">
        <v>4159</v>
      </c>
      <c r="D8" s="48">
        <v>19</v>
      </c>
      <c r="E8" s="53">
        <f t="shared" si="0"/>
        <v>4178</v>
      </c>
      <c r="F8" s="47">
        <v>77</v>
      </c>
      <c r="G8" s="48">
        <v>2</v>
      </c>
      <c r="H8" s="53">
        <f t="shared" si="1"/>
        <v>79</v>
      </c>
      <c r="I8" s="48">
        <v>31</v>
      </c>
      <c r="J8" s="50">
        <v>0</v>
      </c>
      <c r="K8" s="54">
        <f t="shared" si="2"/>
        <v>31</v>
      </c>
      <c r="L8" s="55">
        <f t="shared" si="3"/>
        <v>4288</v>
      </c>
    </row>
    <row r="9" spans="1:12" ht="16.5" x14ac:dyDescent="0.3">
      <c r="A9" s="20" t="s">
        <v>27</v>
      </c>
      <c r="B9" s="21" t="s">
        <v>55</v>
      </c>
      <c r="C9" s="47">
        <v>4393</v>
      </c>
      <c r="D9" s="48">
        <v>1</v>
      </c>
      <c r="E9" s="53">
        <f t="shared" si="0"/>
        <v>4394</v>
      </c>
      <c r="F9" s="47">
        <v>139</v>
      </c>
      <c r="G9" s="48">
        <v>60</v>
      </c>
      <c r="H9" s="53">
        <f t="shared" si="1"/>
        <v>199</v>
      </c>
      <c r="I9" s="48">
        <v>173</v>
      </c>
      <c r="J9" s="50">
        <v>16</v>
      </c>
      <c r="K9" s="54">
        <f t="shared" si="2"/>
        <v>189</v>
      </c>
      <c r="L9" s="55">
        <f t="shared" si="3"/>
        <v>4782</v>
      </c>
    </row>
    <row r="10" spans="1:12" ht="16.5" x14ac:dyDescent="0.3">
      <c r="A10" s="20" t="s">
        <v>27</v>
      </c>
      <c r="B10" s="21" t="s">
        <v>56</v>
      </c>
      <c r="C10" s="47">
        <v>3107</v>
      </c>
      <c r="D10" s="48">
        <v>30</v>
      </c>
      <c r="E10" s="53">
        <f t="shared" si="0"/>
        <v>3137</v>
      </c>
      <c r="F10" s="47">
        <v>241</v>
      </c>
      <c r="G10" s="48">
        <v>34</v>
      </c>
      <c r="H10" s="53">
        <f t="shared" si="1"/>
        <v>275</v>
      </c>
      <c r="I10" s="48">
        <v>65</v>
      </c>
      <c r="J10" s="50">
        <v>0</v>
      </c>
      <c r="K10" s="54">
        <f t="shared" si="2"/>
        <v>65</v>
      </c>
      <c r="L10" s="55">
        <f t="shared" si="3"/>
        <v>3477</v>
      </c>
    </row>
    <row r="11" spans="1:12" ht="16.5" x14ac:dyDescent="0.3">
      <c r="A11" s="20" t="s">
        <v>57</v>
      </c>
      <c r="B11" s="21" t="s">
        <v>58</v>
      </c>
      <c r="C11" s="47">
        <v>3727</v>
      </c>
      <c r="D11" s="48">
        <v>8</v>
      </c>
      <c r="E11" s="53">
        <f t="shared" si="0"/>
        <v>3735</v>
      </c>
      <c r="F11" s="47">
        <v>139</v>
      </c>
      <c r="G11" s="48">
        <v>15</v>
      </c>
      <c r="H11" s="53">
        <f t="shared" si="1"/>
        <v>154</v>
      </c>
      <c r="I11" s="48">
        <v>105</v>
      </c>
      <c r="J11" s="50">
        <v>155</v>
      </c>
      <c r="K11" s="54">
        <f t="shared" si="2"/>
        <v>260</v>
      </c>
      <c r="L11" s="55">
        <f t="shared" si="3"/>
        <v>4149</v>
      </c>
    </row>
    <row r="12" spans="1:12" ht="16.5" x14ac:dyDescent="0.3">
      <c r="A12" s="20" t="s">
        <v>57</v>
      </c>
      <c r="B12" s="21" t="s">
        <v>59</v>
      </c>
      <c r="C12" s="47">
        <v>8218</v>
      </c>
      <c r="D12" s="48">
        <v>7</v>
      </c>
      <c r="E12" s="53">
        <f t="shared" si="0"/>
        <v>8225</v>
      </c>
      <c r="F12" s="47">
        <v>346</v>
      </c>
      <c r="G12" s="48">
        <v>10</v>
      </c>
      <c r="H12" s="53">
        <f t="shared" si="1"/>
        <v>356</v>
      </c>
      <c r="I12" s="48">
        <v>573</v>
      </c>
      <c r="J12" s="50">
        <v>223</v>
      </c>
      <c r="K12" s="54">
        <f t="shared" si="2"/>
        <v>796</v>
      </c>
      <c r="L12" s="55">
        <f t="shared" si="3"/>
        <v>9377</v>
      </c>
    </row>
    <row r="13" spans="1:12" ht="16.5" x14ac:dyDescent="0.3">
      <c r="A13" s="20" t="s">
        <v>57</v>
      </c>
      <c r="B13" s="21" t="s">
        <v>60</v>
      </c>
      <c r="C13" s="47">
        <v>7954</v>
      </c>
      <c r="D13" s="48">
        <v>15</v>
      </c>
      <c r="E13" s="53">
        <f t="shared" si="0"/>
        <v>7969</v>
      </c>
      <c r="F13" s="47">
        <v>145</v>
      </c>
      <c r="G13" s="48">
        <v>7</v>
      </c>
      <c r="H13" s="53">
        <f t="shared" si="1"/>
        <v>152</v>
      </c>
      <c r="I13" s="48">
        <v>2245</v>
      </c>
      <c r="J13" s="50">
        <v>335</v>
      </c>
      <c r="K13" s="54">
        <f t="shared" si="2"/>
        <v>2580</v>
      </c>
      <c r="L13" s="55">
        <f t="shared" si="3"/>
        <v>10701</v>
      </c>
    </row>
    <row r="14" spans="1:12" ht="16.5" x14ac:dyDescent="0.3">
      <c r="A14" s="20" t="s">
        <v>57</v>
      </c>
      <c r="B14" s="21" t="s">
        <v>61</v>
      </c>
      <c r="C14" s="47">
        <v>4427</v>
      </c>
      <c r="D14" s="48">
        <v>0</v>
      </c>
      <c r="E14" s="53">
        <f t="shared" si="0"/>
        <v>4427</v>
      </c>
      <c r="F14" s="47">
        <v>159</v>
      </c>
      <c r="G14" s="48">
        <v>23</v>
      </c>
      <c r="H14" s="53">
        <f t="shared" si="1"/>
        <v>182</v>
      </c>
      <c r="I14" s="48">
        <v>469</v>
      </c>
      <c r="J14" s="50">
        <v>485</v>
      </c>
      <c r="K14" s="54">
        <f t="shared" si="2"/>
        <v>954</v>
      </c>
      <c r="L14" s="55">
        <f t="shared" si="3"/>
        <v>5563</v>
      </c>
    </row>
    <row r="15" spans="1:12" ht="16.5" x14ac:dyDescent="0.3">
      <c r="A15" s="20" t="s">
        <v>62</v>
      </c>
      <c r="B15" s="21" t="s">
        <v>63</v>
      </c>
      <c r="C15" s="47">
        <v>956</v>
      </c>
      <c r="D15" s="48">
        <v>0</v>
      </c>
      <c r="E15" s="53">
        <f t="shared" si="0"/>
        <v>956</v>
      </c>
      <c r="F15" s="47">
        <v>51</v>
      </c>
      <c r="G15" s="48">
        <v>0</v>
      </c>
      <c r="H15" s="53">
        <f t="shared" si="1"/>
        <v>51</v>
      </c>
      <c r="I15" s="48">
        <v>491</v>
      </c>
      <c r="J15" s="50">
        <v>168</v>
      </c>
      <c r="K15" s="54">
        <f t="shared" si="2"/>
        <v>659</v>
      </c>
      <c r="L15" s="55">
        <f t="shared" si="3"/>
        <v>1666</v>
      </c>
    </row>
    <row r="16" spans="1:12" ht="16.5" x14ac:dyDescent="0.3">
      <c r="A16" s="20" t="s">
        <v>62</v>
      </c>
      <c r="B16" s="27" t="s">
        <v>64</v>
      </c>
      <c r="C16" s="47">
        <v>1598</v>
      </c>
      <c r="D16" s="48">
        <v>1</v>
      </c>
      <c r="E16" s="53">
        <f t="shared" si="0"/>
        <v>1599</v>
      </c>
      <c r="F16" s="47">
        <v>73</v>
      </c>
      <c r="G16" s="48">
        <v>1</v>
      </c>
      <c r="H16" s="53">
        <f t="shared" si="1"/>
        <v>74</v>
      </c>
      <c r="I16" s="48">
        <v>658</v>
      </c>
      <c r="J16" s="50">
        <v>167</v>
      </c>
      <c r="K16" s="54">
        <f t="shared" si="2"/>
        <v>825</v>
      </c>
      <c r="L16" s="55">
        <f t="shared" si="3"/>
        <v>2498</v>
      </c>
    </row>
    <row r="17" spans="1:12" ht="16.5" x14ac:dyDescent="0.3">
      <c r="A17" s="20" t="s">
        <v>62</v>
      </c>
      <c r="B17" s="21" t="s">
        <v>65</v>
      </c>
      <c r="C17" s="47">
        <v>1099</v>
      </c>
      <c r="D17" s="48">
        <v>1</v>
      </c>
      <c r="E17" s="53">
        <f t="shared" si="0"/>
        <v>1100</v>
      </c>
      <c r="F17" s="47">
        <v>36</v>
      </c>
      <c r="G17" s="48">
        <v>2</v>
      </c>
      <c r="H17" s="53">
        <f t="shared" si="1"/>
        <v>38</v>
      </c>
      <c r="I17" s="48">
        <v>1489</v>
      </c>
      <c r="J17" s="50">
        <v>330</v>
      </c>
      <c r="K17" s="54">
        <f t="shared" si="2"/>
        <v>1819</v>
      </c>
      <c r="L17" s="55">
        <f t="shared" si="3"/>
        <v>2957</v>
      </c>
    </row>
    <row r="18" spans="1:12" ht="16.5" x14ac:dyDescent="0.3">
      <c r="A18" s="20" t="s">
        <v>29</v>
      </c>
      <c r="B18" s="27" t="s">
        <v>64</v>
      </c>
      <c r="C18" s="47">
        <v>2583</v>
      </c>
      <c r="D18" s="48">
        <v>2</v>
      </c>
      <c r="E18" s="53">
        <f t="shared" si="0"/>
        <v>2585</v>
      </c>
      <c r="F18" s="47">
        <v>404</v>
      </c>
      <c r="G18" s="48">
        <v>287</v>
      </c>
      <c r="H18" s="53">
        <f t="shared" si="1"/>
        <v>691</v>
      </c>
      <c r="I18" s="48">
        <v>175</v>
      </c>
      <c r="J18" s="50">
        <v>3</v>
      </c>
      <c r="K18" s="54">
        <f t="shared" si="2"/>
        <v>178</v>
      </c>
      <c r="L18" s="55">
        <f t="shared" si="3"/>
        <v>3454</v>
      </c>
    </row>
    <row r="19" spans="1:12" ht="16.5" x14ac:dyDescent="0.3">
      <c r="A19" s="20" t="s">
        <v>29</v>
      </c>
      <c r="B19" s="21" t="s">
        <v>30</v>
      </c>
      <c r="C19" s="47">
        <v>29914</v>
      </c>
      <c r="D19" s="48">
        <v>1233</v>
      </c>
      <c r="E19" s="53">
        <f t="shared" si="0"/>
        <v>31147</v>
      </c>
      <c r="F19" s="47">
        <v>4840</v>
      </c>
      <c r="G19" s="48">
        <v>1021</v>
      </c>
      <c r="H19" s="53">
        <f t="shared" si="1"/>
        <v>5861</v>
      </c>
      <c r="I19" s="48">
        <v>3573</v>
      </c>
      <c r="J19" s="50">
        <v>0</v>
      </c>
      <c r="K19" s="54">
        <f t="shared" si="2"/>
        <v>3573</v>
      </c>
      <c r="L19" s="55">
        <f t="shared" si="3"/>
        <v>40581</v>
      </c>
    </row>
    <row r="20" spans="1:12" ht="16.5" x14ac:dyDescent="0.3">
      <c r="A20" s="20" t="s">
        <v>66</v>
      </c>
      <c r="B20" s="21" t="s">
        <v>67</v>
      </c>
      <c r="C20" s="47">
        <v>2074</v>
      </c>
      <c r="D20" s="48">
        <v>5</v>
      </c>
      <c r="E20" s="53">
        <f t="shared" si="0"/>
        <v>2079</v>
      </c>
      <c r="F20" s="47">
        <v>73</v>
      </c>
      <c r="G20" s="48">
        <v>5</v>
      </c>
      <c r="H20" s="53">
        <f t="shared" si="1"/>
        <v>78</v>
      </c>
      <c r="I20" s="48">
        <v>176</v>
      </c>
      <c r="J20" s="50">
        <v>498</v>
      </c>
      <c r="K20" s="54">
        <f t="shared" si="2"/>
        <v>674</v>
      </c>
      <c r="L20" s="55">
        <f t="shared" si="3"/>
        <v>2831</v>
      </c>
    </row>
    <row r="21" spans="1:12" ht="15.75" customHeight="1" x14ac:dyDescent="0.3">
      <c r="A21" s="20" t="s">
        <v>31</v>
      </c>
      <c r="B21" s="21" t="s">
        <v>32</v>
      </c>
      <c r="C21" s="47">
        <v>15976</v>
      </c>
      <c r="D21" s="48">
        <v>11</v>
      </c>
      <c r="E21" s="53">
        <f t="shared" si="0"/>
        <v>15987</v>
      </c>
      <c r="F21" s="47">
        <v>620</v>
      </c>
      <c r="G21" s="48">
        <v>104</v>
      </c>
      <c r="H21" s="53">
        <f t="shared" si="1"/>
        <v>724</v>
      </c>
      <c r="I21" s="48">
        <v>482</v>
      </c>
      <c r="J21" s="50">
        <v>73</v>
      </c>
      <c r="K21" s="54">
        <f t="shared" si="2"/>
        <v>555</v>
      </c>
      <c r="L21" s="55">
        <f t="shared" si="3"/>
        <v>17266</v>
      </c>
    </row>
    <row r="22" spans="1:12" ht="15.75" customHeight="1" x14ac:dyDescent="0.3">
      <c r="A22" s="20" t="s">
        <v>31</v>
      </c>
      <c r="B22" s="21" t="s">
        <v>33</v>
      </c>
      <c r="C22" s="47">
        <v>18503</v>
      </c>
      <c r="D22" s="48">
        <v>29</v>
      </c>
      <c r="E22" s="53">
        <f t="shared" si="0"/>
        <v>18532</v>
      </c>
      <c r="F22" s="47">
        <v>493</v>
      </c>
      <c r="G22" s="48">
        <v>56</v>
      </c>
      <c r="H22" s="53">
        <f t="shared" si="1"/>
        <v>549</v>
      </c>
      <c r="I22" s="48">
        <v>1007</v>
      </c>
      <c r="J22" s="50">
        <v>149</v>
      </c>
      <c r="K22" s="54">
        <f t="shared" si="2"/>
        <v>1156</v>
      </c>
      <c r="L22" s="55">
        <f t="shared" si="3"/>
        <v>20237</v>
      </c>
    </row>
    <row r="23" spans="1:12" ht="15.75" customHeight="1" x14ac:dyDescent="0.3">
      <c r="A23" s="20" t="s">
        <v>31</v>
      </c>
      <c r="B23" s="21" t="s">
        <v>34</v>
      </c>
      <c r="C23" s="47">
        <v>4189</v>
      </c>
      <c r="D23" s="48">
        <v>5</v>
      </c>
      <c r="E23" s="53">
        <f t="shared" si="0"/>
        <v>4194</v>
      </c>
      <c r="F23" s="47">
        <v>196</v>
      </c>
      <c r="G23" s="48">
        <v>146</v>
      </c>
      <c r="H23" s="53">
        <f t="shared" si="1"/>
        <v>342</v>
      </c>
      <c r="I23" s="48">
        <v>135</v>
      </c>
      <c r="J23" s="50">
        <v>0</v>
      </c>
      <c r="K23" s="54">
        <f t="shared" si="2"/>
        <v>135</v>
      </c>
      <c r="L23" s="55">
        <f t="shared" si="3"/>
        <v>4671</v>
      </c>
    </row>
    <row r="24" spans="1:12" ht="15.75" customHeight="1" x14ac:dyDescent="0.3">
      <c r="A24" s="20" t="s">
        <v>31</v>
      </c>
      <c r="B24" s="21" t="s">
        <v>35</v>
      </c>
      <c r="C24" s="47">
        <v>11983</v>
      </c>
      <c r="D24" s="48">
        <v>25</v>
      </c>
      <c r="E24" s="53">
        <f t="shared" si="0"/>
        <v>12008</v>
      </c>
      <c r="F24" s="47">
        <v>408</v>
      </c>
      <c r="G24" s="48">
        <v>56</v>
      </c>
      <c r="H24" s="53">
        <f t="shared" si="1"/>
        <v>464</v>
      </c>
      <c r="I24" s="48">
        <v>439</v>
      </c>
      <c r="J24" s="50">
        <v>4</v>
      </c>
      <c r="K24" s="54">
        <f t="shared" si="2"/>
        <v>443</v>
      </c>
      <c r="L24" s="55">
        <f t="shared" si="3"/>
        <v>12915</v>
      </c>
    </row>
    <row r="25" spans="1:12" ht="15.75" customHeight="1" x14ac:dyDescent="0.3">
      <c r="A25" s="20" t="s">
        <v>31</v>
      </c>
      <c r="B25" s="21" t="s">
        <v>36</v>
      </c>
      <c r="C25" s="47">
        <v>4325</v>
      </c>
      <c r="D25" s="48">
        <v>28</v>
      </c>
      <c r="E25" s="53">
        <f t="shared" si="0"/>
        <v>4353</v>
      </c>
      <c r="F25" s="47">
        <v>185</v>
      </c>
      <c r="G25" s="48">
        <v>26</v>
      </c>
      <c r="H25" s="53">
        <f t="shared" si="1"/>
        <v>211</v>
      </c>
      <c r="I25" s="48">
        <v>234</v>
      </c>
      <c r="J25" s="50">
        <v>0</v>
      </c>
      <c r="K25" s="54">
        <f t="shared" si="2"/>
        <v>234</v>
      </c>
      <c r="L25" s="55">
        <f t="shared" si="3"/>
        <v>4798</v>
      </c>
    </row>
    <row r="26" spans="1:12" ht="15.75" customHeight="1" x14ac:dyDescent="0.3">
      <c r="A26" s="20" t="s">
        <v>31</v>
      </c>
      <c r="B26" s="21" t="s">
        <v>37</v>
      </c>
      <c r="C26" s="47">
        <v>26464</v>
      </c>
      <c r="D26" s="48">
        <v>108</v>
      </c>
      <c r="E26" s="53">
        <f t="shared" si="0"/>
        <v>26572</v>
      </c>
      <c r="F26" s="47">
        <v>1079</v>
      </c>
      <c r="G26" s="48">
        <v>165</v>
      </c>
      <c r="H26" s="53">
        <f t="shared" si="1"/>
        <v>1244</v>
      </c>
      <c r="I26" s="48">
        <v>617</v>
      </c>
      <c r="J26" s="50">
        <v>0</v>
      </c>
      <c r="K26" s="54">
        <f t="shared" si="2"/>
        <v>617</v>
      </c>
      <c r="L26" s="55">
        <f t="shared" si="3"/>
        <v>28433</v>
      </c>
    </row>
    <row r="27" spans="1:12" ht="15.75" customHeight="1" x14ac:dyDescent="0.3">
      <c r="A27" s="20" t="s">
        <v>38</v>
      </c>
      <c r="B27" s="21" t="s">
        <v>39</v>
      </c>
      <c r="C27" s="47">
        <v>2961</v>
      </c>
      <c r="D27" s="48">
        <v>20</v>
      </c>
      <c r="E27" s="53">
        <f t="shared" si="0"/>
        <v>2981</v>
      </c>
      <c r="F27" s="47">
        <v>107</v>
      </c>
      <c r="G27" s="48">
        <v>3</v>
      </c>
      <c r="H27" s="53">
        <f t="shared" si="1"/>
        <v>110</v>
      </c>
      <c r="I27" s="48">
        <v>178</v>
      </c>
      <c r="J27" s="50">
        <v>0</v>
      </c>
      <c r="K27" s="54">
        <f t="shared" si="2"/>
        <v>178</v>
      </c>
      <c r="L27" s="55">
        <f t="shared" si="3"/>
        <v>3269</v>
      </c>
    </row>
    <row r="28" spans="1:12" ht="15.75" customHeight="1" x14ac:dyDescent="0.3">
      <c r="A28" s="20" t="s">
        <v>38</v>
      </c>
      <c r="B28" s="21" t="s">
        <v>40</v>
      </c>
      <c r="C28" s="47">
        <v>14192</v>
      </c>
      <c r="D28" s="48">
        <v>0</v>
      </c>
      <c r="E28" s="53">
        <f t="shared" si="0"/>
        <v>14192</v>
      </c>
      <c r="F28" s="47">
        <v>389</v>
      </c>
      <c r="G28" s="48">
        <v>9</v>
      </c>
      <c r="H28" s="53">
        <f t="shared" si="1"/>
        <v>398</v>
      </c>
      <c r="I28" s="48">
        <v>418</v>
      </c>
      <c r="J28" s="50">
        <v>269</v>
      </c>
      <c r="K28" s="54">
        <f t="shared" si="2"/>
        <v>687</v>
      </c>
      <c r="L28" s="55">
        <f t="shared" si="3"/>
        <v>15277</v>
      </c>
    </row>
    <row r="29" spans="1:12" ht="15.75" customHeight="1" x14ac:dyDescent="0.3">
      <c r="A29" s="20" t="s">
        <v>38</v>
      </c>
      <c r="B29" s="21" t="s">
        <v>68</v>
      </c>
      <c r="C29" s="47">
        <v>8598</v>
      </c>
      <c r="D29" s="48">
        <v>15</v>
      </c>
      <c r="E29" s="53">
        <f t="shared" si="0"/>
        <v>8613</v>
      </c>
      <c r="F29" s="47">
        <v>403</v>
      </c>
      <c r="G29" s="48">
        <v>0</v>
      </c>
      <c r="H29" s="53">
        <f t="shared" si="1"/>
        <v>403</v>
      </c>
      <c r="I29" s="48">
        <v>386</v>
      </c>
      <c r="J29" s="50">
        <v>6</v>
      </c>
      <c r="K29" s="54">
        <f t="shared" si="2"/>
        <v>392</v>
      </c>
      <c r="L29" s="55">
        <f t="shared" si="3"/>
        <v>9408</v>
      </c>
    </row>
    <row r="30" spans="1:12" ht="15.75" customHeight="1" x14ac:dyDescent="0.3">
      <c r="A30" s="20" t="s">
        <v>38</v>
      </c>
      <c r="B30" s="21" t="s">
        <v>69</v>
      </c>
      <c r="C30" s="47">
        <v>1031</v>
      </c>
      <c r="D30" s="48">
        <v>4</v>
      </c>
      <c r="E30" s="53">
        <f t="shared" si="0"/>
        <v>1035</v>
      </c>
      <c r="F30" s="47">
        <v>71</v>
      </c>
      <c r="G30" s="48">
        <v>0</v>
      </c>
      <c r="H30" s="53">
        <f t="shared" si="1"/>
        <v>71</v>
      </c>
      <c r="I30" s="48">
        <v>202</v>
      </c>
      <c r="J30" s="50">
        <v>0</v>
      </c>
      <c r="K30" s="54">
        <f t="shared" si="2"/>
        <v>202</v>
      </c>
      <c r="L30" s="55">
        <f t="shared" si="3"/>
        <v>1308</v>
      </c>
    </row>
    <row r="31" spans="1:12" ht="15.75" customHeight="1" x14ac:dyDescent="0.3">
      <c r="A31" s="20" t="s">
        <v>70</v>
      </c>
      <c r="B31" s="21" t="s">
        <v>71</v>
      </c>
      <c r="C31" s="47">
        <v>6034</v>
      </c>
      <c r="D31" s="48">
        <v>3</v>
      </c>
      <c r="E31" s="53">
        <f t="shared" si="0"/>
        <v>6037</v>
      </c>
      <c r="F31" s="47">
        <v>374</v>
      </c>
      <c r="G31" s="48">
        <v>38</v>
      </c>
      <c r="H31" s="53">
        <f t="shared" si="1"/>
        <v>412</v>
      </c>
      <c r="I31" s="48">
        <v>515</v>
      </c>
      <c r="J31" s="50">
        <v>23</v>
      </c>
      <c r="K31" s="54">
        <f t="shared" si="2"/>
        <v>538</v>
      </c>
      <c r="L31" s="55">
        <f t="shared" si="3"/>
        <v>6987</v>
      </c>
    </row>
    <row r="32" spans="1:12" ht="15.75" customHeight="1" x14ac:dyDescent="0.3">
      <c r="A32" s="20" t="s">
        <v>70</v>
      </c>
      <c r="B32" s="21" t="s">
        <v>72</v>
      </c>
      <c r="C32" s="47">
        <v>3531</v>
      </c>
      <c r="D32" s="48">
        <v>2</v>
      </c>
      <c r="E32" s="53">
        <f t="shared" si="0"/>
        <v>3533</v>
      </c>
      <c r="F32" s="47">
        <v>78</v>
      </c>
      <c r="G32" s="48">
        <v>25</v>
      </c>
      <c r="H32" s="53">
        <f t="shared" si="1"/>
        <v>103</v>
      </c>
      <c r="I32" s="48">
        <v>113</v>
      </c>
      <c r="J32" s="50">
        <v>31</v>
      </c>
      <c r="K32" s="54">
        <f t="shared" si="2"/>
        <v>144</v>
      </c>
      <c r="L32" s="55">
        <f t="shared" si="3"/>
        <v>3780</v>
      </c>
    </row>
    <row r="33" spans="1:12" ht="15.75" customHeight="1" x14ac:dyDescent="0.3">
      <c r="A33" s="20" t="s">
        <v>41</v>
      </c>
      <c r="B33" s="21" t="s">
        <v>73</v>
      </c>
      <c r="C33" s="47">
        <v>3522</v>
      </c>
      <c r="D33" s="48">
        <v>10</v>
      </c>
      <c r="E33" s="53">
        <f t="shared" si="0"/>
        <v>3532</v>
      </c>
      <c r="F33" s="47">
        <v>195</v>
      </c>
      <c r="G33" s="48">
        <v>36</v>
      </c>
      <c r="H33" s="53">
        <f t="shared" si="1"/>
        <v>231</v>
      </c>
      <c r="I33" s="48">
        <v>161</v>
      </c>
      <c r="J33" s="50">
        <v>0</v>
      </c>
      <c r="K33" s="54">
        <f t="shared" si="2"/>
        <v>161</v>
      </c>
      <c r="L33" s="55">
        <f t="shared" si="3"/>
        <v>3924</v>
      </c>
    </row>
    <row r="34" spans="1:12" ht="15.75" customHeight="1" x14ac:dyDescent="0.3">
      <c r="A34" s="20" t="s">
        <v>41</v>
      </c>
      <c r="B34" s="21" t="s">
        <v>42</v>
      </c>
      <c r="C34" s="47">
        <v>18344</v>
      </c>
      <c r="D34" s="48">
        <v>542</v>
      </c>
      <c r="E34" s="53">
        <f t="shared" si="0"/>
        <v>18886</v>
      </c>
      <c r="F34" s="47">
        <v>3612</v>
      </c>
      <c r="G34" s="48">
        <v>489</v>
      </c>
      <c r="H34" s="53">
        <f t="shared" si="1"/>
        <v>4101</v>
      </c>
      <c r="I34" s="48">
        <v>967</v>
      </c>
      <c r="J34" s="50">
        <v>0</v>
      </c>
      <c r="K34" s="54">
        <f t="shared" si="2"/>
        <v>967</v>
      </c>
      <c r="L34" s="55">
        <f t="shared" si="3"/>
        <v>23954</v>
      </c>
    </row>
    <row r="35" spans="1:12" ht="15.75" customHeight="1" x14ac:dyDescent="0.3">
      <c r="A35" s="20" t="s">
        <v>41</v>
      </c>
      <c r="B35" s="21" t="s">
        <v>43</v>
      </c>
      <c r="C35" s="47">
        <v>3661</v>
      </c>
      <c r="D35" s="48">
        <v>8</v>
      </c>
      <c r="E35" s="53">
        <f t="shared" si="0"/>
        <v>3669</v>
      </c>
      <c r="F35" s="47">
        <v>162</v>
      </c>
      <c r="G35" s="48">
        <v>10</v>
      </c>
      <c r="H35" s="53">
        <f t="shared" si="1"/>
        <v>172</v>
      </c>
      <c r="I35" s="48">
        <v>48</v>
      </c>
      <c r="J35" s="50">
        <v>0</v>
      </c>
      <c r="K35" s="54">
        <f t="shared" si="2"/>
        <v>48</v>
      </c>
      <c r="L35" s="55">
        <f t="shared" si="3"/>
        <v>3889</v>
      </c>
    </row>
    <row r="36" spans="1:12" ht="15.75" customHeight="1" x14ac:dyDescent="0.3">
      <c r="A36" s="20" t="s">
        <v>41</v>
      </c>
      <c r="B36" s="21" t="s">
        <v>44</v>
      </c>
      <c r="C36" s="47">
        <v>16461</v>
      </c>
      <c r="D36" s="48">
        <v>9</v>
      </c>
      <c r="E36" s="53">
        <f t="shared" si="0"/>
        <v>16470</v>
      </c>
      <c r="F36" s="47">
        <v>603</v>
      </c>
      <c r="G36" s="48">
        <v>88</v>
      </c>
      <c r="H36" s="53">
        <f t="shared" si="1"/>
        <v>691</v>
      </c>
      <c r="I36" s="48">
        <v>431</v>
      </c>
      <c r="J36" s="50">
        <v>16</v>
      </c>
      <c r="K36" s="54">
        <f t="shared" si="2"/>
        <v>447</v>
      </c>
      <c r="L36" s="55">
        <f t="shared" si="3"/>
        <v>17608</v>
      </c>
    </row>
    <row r="37" spans="1:12" ht="15.75" customHeight="1" x14ac:dyDescent="0.3">
      <c r="A37" s="20" t="s">
        <v>41</v>
      </c>
      <c r="B37" s="21" t="s">
        <v>74</v>
      </c>
      <c r="C37" s="47">
        <v>3646</v>
      </c>
      <c r="D37" s="48">
        <v>8</v>
      </c>
      <c r="E37" s="53">
        <f t="shared" si="0"/>
        <v>3654</v>
      </c>
      <c r="F37" s="47">
        <v>225</v>
      </c>
      <c r="G37" s="48">
        <v>29</v>
      </c>
      <c r="H37" s="53">
        <f t="shared" si="1"/>
        <v>254</v>
      </c>
      <c r="I37" s="48">
        <v>63</v>
      </c>
      <c r="J37" s="50">
        <v>1</v>
      </c>
      <c r="K37" s="54">
        <f t="shared" si="2"/>
        <v>64</v>
      </c>
      <c r="L37" s="55">
        <f t="shared" si="3"/>
        <v>3972</v>
      </c>
    </row>
    <row r="38" spans="1:12" ht="15.75" customHeight="1" x14ac:dyDescent="0.3">
      <c r="A38" s="20" t="s">
        <v>45</v>
      </c>
      <c r="B38" s="21" t="s">
        <v>75</v>
      </c>
      <c r="C38" s="47">
        <v>14881</v>
      </c>
      <c r="D38" s="48">
        <v>24</v>
      </c>
      <c r="E38" s="53">
        <f t="shared" si="0"/>
        <v>14905</v>
      </c>
      <c r="F38" s="47">
        <v>420</v>
      </c>
      <c r="G38" s="48">
        <v>47</v>
      </c>
      <c r="H38" s="53">
        <f t="shared" si="1"/>
        <v>467</v>
      </c>
      <c r="I38" s="48">
        <v>439</v>
      </c>
      <c r="J38" s="50">
        <v>34</v>
      </c>
      <c r="K38" s="54">
        <f t="shared" si="2"/>
        <v>473</v>
      </c>
      <c r="L38" s="55">
        <f t="shared" si="3"/>
        <v>15845</v>
      </c>
    </row>
    <row r="39" spans="1:12" ht="15.75" customHeight="1" x14ac:dyDescent="0.3">
      <c r="A39" s="20" t="s">
        <v>45</v>
      </c>
      <c r="B39" s="21" t="s">
        <v>46</v>
      </c>
      <c r="C39" s="47">
        <v>20199</v>
      </c>
      <c r="D39" s="48">
        <v>30</v>
      </c>
      <c r="E39" s="53">
        <f t="shared" si="0"/>
        <v>20229</v>
      </c>
      <c r="F39" s="47">
        <v>538</v>
      </c>
      <c r="G39" s="48">
        <v>164</v>
      </c>
      <c r="H39" s="53">
        <f t="shared" si="1"/>
        <v>702</v>
      </c>
      <c r="I39" s="48">
        <v>801</v>
      </c>
      <c r="J39" s="50">
        <v>314</v>
      </c>
      <c r="K39" s="54">
        <f t="shared" si="2"/>
        <v>1115</v>
      </c>
      <c r="L39" s="55">
        <f t="shared" si="3"/>
        <v>22046</v>
      </c>
    </row>
    <row r="40" spans="1:12" ht="15.75" customHeight="1" x14ac:dyDescent="0.3">
      <c r="A40" s="20" t="s">
        <v>45</v>
      </c>
      <c r="B40" s="21" t="s">
        <v>47</v>
      </c>
      <c r="C40" s="47">
        <v>3171</v>
      </c>
      <c r="D40" s="48">
        <v>20</v>
      </c>
      <c r="E40" s="53">
        <f t="shared" si="0"/>
        <v>3191</v>
      </c>
      <c r="F40" s="47">
        <v>135</v>
      </c>
      <c r="G40" s="48">
        <v>29</v>
      </c>
      <c r="H40" s="53">
        <f t="shared" si="1"/>
        <v>164</v>
      </c>
      <c r="I40" s="48">
        <v>94</v>
      </c>
      <c r="J40" s="50">
        <v>0</v>
      </c>
      <c r="K40" s="54">
        <f t="shared" si="2"/>
        <v>94</v>
      </c>
      <c r="L40" s="55">
        <f t="shared" si="3"/>
        <v>3449</v>
      </c>
    </row>
    <row r="41" spans="1:12" ht="15.75" customHeight="1" x14ac:dyDescent="0.3">
      <c r="A41" s="20" t="s">
        <v>48</v>
      </c>
      <c r="B41" s="21" t="s">
        <v>49</v>
      </c>
      <c r="C41" s="47">
        <v>10187</v>
      </c>
      <c r="D41" s="48">
        <v>98</v>
      </c>
      <c r="E41" s="53">
        <f t="shared" si="0"/>
        <v>10285</v>
      </c>
      <c r="F41" s="47">
        <v>739</v>
      </c>
      <c r="G41" s="48">
        <v>366</v>
      </c>
      <c r="H41" s="53">
        <f t="shared" si="1"/>
        <v>1105</v>
      </c>
      <c r="I41" s="48">
        <v>447</v>
      </c>
      <c r="J41" s="50">
        <v>0</v>
      </c>
      <c r="K41" s="54">
        <f t="shared" si="2"/>
        <v>447</v>
      </c>
      <c r="L41" s="55">
        <f t="shared" si="3"/>
        <v>11837</v>
      </c>
    </row>
    <row r="42" spans="1:12" ht="15.75" customHeight="1" x14ac:dyDescent="0.3">
      <c r="A42" s="20" t="s">
        <v>48</v>
      </c>
      <c r="B42" s="21" t="s">
        <v>50</v>
      </c>
      <c r="C42" s="47">
        <v>7309</v>
      </c>
      <c r="D42" s="48">
        <v>80</v>
      </c>
      <c r="E42" s="53">
        <f t="shared" si="0"/>
        <v>7389</v>
      </c>
      <c r="F42" s="47">
        <v>343</v>
      </c>
      <c r="G42" s="48">
        <v>98</v>
      </c>
      <c r="H42" s="53">
        <f t="shared" si="1"/>
        <v>441</v>
      </c>
      <c r="I42" s="48">
        <v>246</v>
      </c>
      <c r="J42" s="50">
        <v>0</v>
      </c>
      <c r="K42" s="54">
        <f t="shared" si="2"/>
        <v>246</v>
      </c>
      <c r="L42" s="55">
        <f t="shared" si="3"/>
        <v>8076</v>
      </c>
    </row>
    <row r="43" spans="1:12" ht="15.75" customHeight="1" x14ac:dyDescent="0.3">
      <c r="A43" s="28" t="s">
        <v>76</v>
      </c>
      <c r="B43" s="29" t="s">
        <v>77</v>
      </c>
      <c r="C43" s="56">
        <v>958</v>
      </c>
      <c r="D43" s="57">
        <v>0</v>
      </c>
      <c r="E43" s="58">
        <f t="shared" si="0"/>
        <v>958</v>
      </c>
      <c r="F43" s="56">
        <v>40</v>
      </c>
      <c r="G43" s="57">
        <v>9</v>
      </c>
      <c r="H43" s="58">
        <f t="shared" si="1"/>
        <v>49</v>
      </c>
      <c r="I43" s="57">
        <v>212</v>
      </c>
      <c r="J43" s="59">
        <v>385</v>
      </c>
      <c r="K43" s="60">
        <f t="shared" si="2"/>
        <v>597</v>
      </c>
      <c r="L43" s="61">
        <f t="shared" si="3"/>
        <v>1604</v>
      </c>
    </row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3:B4"/>
    <mergeCell ref="C3:L3"/>
    <mergeCell ref="C4:E4"/>
    <mergeCell ref="F4:H4"/>
    <mergeCell ref="I4:K4"/>
    <mergeCell ref="L4:L5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00"/>
  <sheetViews>
    <sheetView zoomScaleNormal="100" workbookViewId="0">
      <selection activeCell="C6" sqref="C6"/>
    </sheetView>
  </sheetViews>
  <sheetFormatPr defaultColWidth="14.42578125" defaultRowHeight="15" customHeight="1" x14ac:dyDescent="0.25"/>
  <cols>
    <col min="1" max="2" width="20.7109375" customWidth="1"/>
    <col min="3" max="12" width="15.7109375" customWidth="1"/>
    <col min="13" max="26" width="8.85546875" customWidth="1"/>
  </cols>
  <sheetData>
    <row r="1" spans="1:12" x14ac:dyDescent="0.25">
      <c r="A1" s="1" t="s">
        <v>127</v>
      </c>
    </row>
    <row r="2" spans="1:12" x14ac:dyDescent="0.25">
      <c r="D2" s="8"/>
    </row>
    <row r="3" spans="1:12" ht="31.5" customHeight="1" x14ac:dyDescent="0.25">
      <c r="A3" s="210" t="s">
        <v>98</v>
      </c>
      <c r="B3" s="211"/>
      <c r="C3" s="228" t="s">
        <v>128</v>
      </c>
      <c r="D3" s="229"/>
      <c r="E3" s="229"/>
      <c r="F3" s="229"/>
      <c r="G3" s="229"/>
      <c r="H3" s="229"/>
      <c r="I3" s="229"/>
      <c r="J3" s="229"/>
      <c r="K3" s="229"/>
      <c r="L3" s="230"/>
    </row>
    <row r="4" spans="1:12" ht="31.5" customHeight="1" x14ac:dyDescent="0.25">
      <c r="A4" s="226"/>
      <c r="B4" s="227"/>
      <c r="C4" s="228" t="s">
        <v>129</v>
      </c>
      <c r="D4" s="229"/>
      <c r="E4" s="230"/>
      <c r="F4" s="228" t="s">
        <v>124</v>
      </c>
      <c r="G4" s="229"/>
      <c r="H4" s="230"/>
      <c r="I4" s="228" t="s">
        <v>125</v>
      </c>
      <c r="J4" s="229"/>
      <c r="K4" s="230"/>
      <c r="L4" s="233" t="s">
        <v>103</v>
      </c>
    </row>
    <row r="5" spans="1:12" ht="64.5" customHeight="1" x14ac:dyDescent="0.25">
      <c r="A5" s="11" t="s">
        <v>8</v>
      </c>
      <c r="B5" s="16" t="s">
        <v>9</v>
      </c>
      <c r="C5" s="11" t="s">
        <v>112</v>
      </c>
      <c r="D5" s="12" t="s">
        <v>113</v>
      </c>
      <c r="E5" s="62" t="s">
        <v>114</v>
      </c>
      <c r="F5" s="11" t="s">
        <v>115</v>
      </c>
      <c r="G5" s="12" t="s">
        <v>116</v>
      </c>
      <c r="H5" s="16" t="s">
        <v>117</v>
      </c>
      <c r="I5" s="11" t="s">
        <v>118</v>
      </c>
      <c r="J5" s="12" t="s">
        <v>119</v>
      </c>
      <c r="K5" s="16" t="s">
        <v>120</v>
      </c>
      <c r="L5" s="234"/>
    </row>
    <row r="6" spans="1:12" ht="16.5" x14ac:dyDescent="0.3">
      <c r="A6" s="20" t="s">
        <v>25</v>
      </c>
      <c r="B6" s="21" t="s">
        <v>26</v>
      </c>
      <c r="C6" s="34">
        <v>0.8492806958849114</v>
      </c>
      <c r="D6" s="35">
        <v>3.6801605888256944E-3</v>
      </c>
      <c r="E6" s="35">
        <v>0.85296085647373698</v>
      </c>
      <c r="F6" s="41">
        <v>5.888256942121111E-2</v>
      </c>
      <c r="G6" s="35">
        <v>1.3549682167949146E-2</v>
      </c>
      <c r="H6" s="40">
        <v>7.2432251589160251E-2</v>
      </c>
      <c r="I6" s="35">
        <v>7.4606891937102709E-2</v>
      </c>
      <c r="J6" s="35">
        <v>0</v>
      </c>
      <c r="K6" s="35">
        <v>7.4606891937102709E-2</v>
      </c>
      <c r="L6" s="39">
        <f t="shared" ref="L6:L43" si="0">E6+H6+K6</f>
        <v>0.99999999999999989</v>
      </c>
    </row>
    <row r="7" spans="1:12" ht="16.5" x14ac:dyDescent="0.3">
      <c r="A7" s="20" t="s">
        <v>27</v>
      </c>
      <c r="B7" s="21" t="s">
        <v>54</v>
      </c>
      <c r="C7" s="34">
        <v>0.94568324757004008</v>
      </c>
      <c r="D7" s="35">
        <v>1.1435105774728416E-3</v>
      </c>
      <c r="E7" s="35">
        <v>0.94682675814751283</v>
      </c>
      <c r="F7" s="41">
        <v>2.8016009148084619E-2</v>
      </c>
      <c r="G7" s="35">
        <v>3.4305317324185248E-3</v>
      </c>
      <c r="H7" s="40">
        <v>3.1446540880503145E-2</v>
      </c>
      <c r="I7" s="35">
        <v>2.0583190394511151E-2</v>
      </c>
      <c r="J7" s="35">
        <v>1.1435105774728416E-3</v>
      </c>
      <c r="K7" s="35">
        <v>2.1726700971983991E-2</v>
      </c>
      <c r="L7" s="39">
        <f t="shared" si="0"/>
        <v>1</v>
      </c>
    </row>
    <row r="8" spans="1:12" ht="16.5" x14ac:dyDescent="0.3">
      <c r="A8" s="20" t="s">
        <v>27</v>
      </c>
      <c r="B8" s="21" t="s">
        <v>28</v>
      </c>
      <c r="C8" s="34">
        <v>0.96991604477611937</v>
      </c>
      <c r="D8" s="35">
        <v>4.4309701492537311E-3</v>
      </c>
      <c r="E8" s="35">
        <v>0.97434701492537312</v>
      </c>
      <c r="F8" s="41">
        <v>1.7957089552238806E-2</v>
      </c>
      <c r="G8" s="35">
        <v>4.6641791044776119E-4</v>
      </c>
      <c r="H8" s="40">
        <v>1.8423507462686568E-2</v>
      </c>
      <c r="I8" s="35">
        <v>7.2294776119402986E-3</v>
      </c>
      <c r="J8" s="35">
        <v>0</v>
      </c>
      <c r="K8" s="35">
        <v>7.2294776119402986E-3</v>
      </c>
      <c r="L8" s="39">
        <f t="shared" si="0"/>
        <v>1</v>
      </c>
    </row>
    <row r="9" spans="1:12" ht="16.5" x14ac:dyDescent="0.3">
      <c r="A9" s="20" t="s">
        <v>27</v>
      </c>
      <c r="B9" s="21" t="s">
        <v>55</v>
      </c>
      <c r="C9" s="34">
        <v>0.91865328314512751</v>
      </c>
      <c r="D9" s="35">
        <v>2.0911752404851526E-4</v>
      </c>
      <c r="E9" s="35">
        <v>0.91886240066917613</v>
      </c>
      <c r="F9" s="41">
        <v>2.9067335842743621E-2</v>
      </c>
      <c r="G9" s="35">
        <v>1.2547051442910916E-2</v>
      </c>
      <c r="H9" s="40">
        <v>4.1614387285654537E-2</v>
      </c>
      <c r="I9" s="35">
        <v>3.6177331660393143E-2</v>
      </c>
      <c r="J9" s="35">
        <v>3.3458803847762441E-3</v>
      </c>
      <c r="K9" s="35">
        <v>3.9523212045169384E-2</v>
      </c>
      <c r="L9" s="39">
        <f t="shared" si="0"/>
        <v>1</v>
      </c>
    </row>
    <row r="10" spans="1:12" ht="16.5" x14ac:dyDescent="0.3">
      <c r="A10" s="20" t="s">
        <v>27</v>
      </c>
      <c r="B10" s="21" t="s">
        <v>56</v>
      </c>
      <c r="C10" s="34">
        <v>0.89358642507909114</v>
      </c>
      <c r="D10" s="35">
        <v>8.6281276962899053E-3</v>
      </c>
      <c r="E10" s="35">
        <v>0.9022145527753811</v>
      </c>
      <c r="F10" s="41">
        <v>6.9312625826862234E-2</v>
      </c>
      <c r="G10" s="35">
        <v>9.7785447224618925E-3</v>
      </c>
      <c r="H10" s="40">
        <v>7.909117054932413E-2</v>
      </c>
      <c r="I10" s="35">
        <v>1.8694276675294795E-2</v>
      </c>
      <c r="J10" s="35">
        <v>0</v>
      </c>
      <c r="K10" s="35">
        <v>1.8694276675294795E-2</v>
      </c>
      <c r="L10" s="39">
        <f t="shared" si="0"/>
        <v>1</v>
      </c>
    </row>
    <row r="11" spans="1:12" ht="16.5" x14ac:dyDescent="0.3">
      <c r="A11" s="20" t="s">
        <v>57</v>
      </c>
      <c r="B11" s="21" t="s">
        <v>58</v>
      </c>
      <c r="C11" s="34">
        <v>0.89828874427572913</v>
      </c>
      <c r="D11" s="35">
        <v>1.9281754639672211E-3</v>
      </c>
      <c r="E11" s="35">
        <v>0.90021691973969631</v>
      </c>
      <c r="F11" s="41">
        <v>3.3502048686430468E-2</v>
      </c>
      <c r="G11" s="35">
        <v>3.6153289949385392E-3</v>
      </c>
      <c r="H11" s="40">
        <v>3.7117377681369003E-2</v>
      </c>
      <c r="I11" s="35">
        <v>2.5307302964569775E-2</v>
      </c>
      <c r="J11" s="35">
        <v>3.7358399614364907E-2</v>
      </c>
      <c r="K11" s="35">
        <v>6.2665702578934682E-2</v>
      </c>
      <c r="L11" s="39">
        <f t="shared" si="0"/>
        <v>1</v>
      </c>
    </row>
    <row r="12" spans="1:12" ht="16.5" x14ac:dyDescent="0.3">
      <c r="A12" s="20" t="s">
        <v>57</v>
      </c>
      <c r="B12" s="21" t="s">
        <v>59</v>
      </c>
      <c r="C12" s="34">
        <v>0.87639970139703527</v>
      </c>
      <c r="D12" s="35">
        <v>7.4650741175215959E-4</v>
      </c>
      <c r="E12" s="35">
        <v>0.87714620880878746</v>
      </c>
      <c r="F12" s="41">
        <v>3.6898794923749603E-2</v>
      </c>
      <c r="G12" s="35">
        <v>1.0664391596459423E-3</v>
      </c>
      <c r="H12" s="40">
        <v>3.7965234083395541E-2</v>
      </c>
      <c r="I12" s="35">
        <v>6.1106963847712491E-2</v>
      </c>
      <c r="J12" s="35">
        <v>2.3781593260104511E-2</v>
      </c>
      <c r="K12" s="35">
        <v>8.4888557107816995E-2</v>
      </c>
      <c r="L12" s="39">
        <f t="shared" si="0"/>
        <v>1</v>
      </c>
    </row>
    <row r="13" spans="1:12" ht="16.5" x14ac:dyDescent="0.3">
      <c r="A13" s="20" t="s">
        <v>57</v>
      </c>
      <c r="B13" s="21" t="s">
        <v>60</v>
      </c>
      <c r="C13" s="34">
        <v>0.74329501915708818</v>
      </c>
      <c r="D13" s="35">
        <v>1.4017381553125877E-3</v>
      </c>
      <c r="E13" s="35">
        <v>0.7446967573124007</v>
      </c>
      <c r="F13" s="41">
        <v>1.3550135501355014E-2</v>
      </c>
      <c r="G13" s="35">
        <v>6.5414447247920751E-4</v>
      </c>
      <c r="H13" s="40">
        <v>1.4204279973834222E-2</v>
      </c>
      <c r="I13" s="35">
        <v>0.20979347724511727</v>
      </c>
      <c r="J13" s="35">
        <v>3.1305485468647788E-2</v>
      </c>
      <c r="K13" s="35">
        <v>0.24109896271376507</v>
      </c>
      <c r="L13" s="39">
        <f t="shared" si="0"/>
        <v>1</v>
      </c>
    </row>
    <row r="14" spans="1:12" ht="16.5" x14ac:dyDescent="0.3">
      <c r="A14" s="20" t="s">
        <v>57</v>
      </c>
      <c r="B14" s="21" t="s">
        <v>61</v>
      </c>
      <c r="C14" s="34">
        <v>0.7957936365270537</v>
      </c>
      <c r="D14" s="35">
        <v>0</v>
      </c>
      <c r="E14" s="35">
        <v>0.7957936365270537</v>
      </c>
      <c r="F14" s="41">
        <v>2.8581700521301455E-2</v>
      </c>
      <c r="G14" s="35">
        <v>4.1344598238360593E-3</v>
      </c>
      <c r="H14" s="40">
        <v>3.2716160345137517E-2</v>
      </c>
      <c r="I14" s="35">
        <v>8.4307028581700527E-2</v>
      </c>
      <c r="J14" s="35">
        <v>8.7183174546108216E-2</v>
      </c>
      <c r="K14" s="35">
        <v>0.17149020312780874</v>
      </c>
      <c r="L14" s="39">
        <f t="shared" si="0"/>
        <v>0.99999999999999989</v>
      </c>
    </row>
    <row r="15" spans="1:12" ht="16.5" x14ac:dyDescent="0.3">
      <c r="A15" s="20" t="s">
        <v>62</v>
      </c>
      <c r="B15" s="21" t="s">
        <v>63</v>
      </c>
      <c r="C15" s="34">
        <v>0.57382953181272511</v>
      </c>
      <c r="D15" s="35">
        <v>0</v>
      </c>
      <c r="E15" s="35">
        <v>0.57382953181272511</v>
      </c>
      <c r="F15" s="41">
        <v>3.0612244897959183E-2</v>
      </c>
      <c r="G15" s="35">
        <v>0</v>
      </c>
      <c r="H15" s="40">
        <v>3.0612244897959183E-2</v>
      </c>
      <c r="I15" s="35">
        <v>0.29471788715486197</v>
      </c>
      <c r="J15" s="35">
        <v>0.10084033613445378</v>
      </c>
      <c r="K15" s="35">
        <v>0.39555822328931572</v>
      </c>
      <c r="L15" s="39">
        <f t="shared" si="0"/>
        <v>1</v>
      </c>
    </row>
    <row r="16" spans="1:12" ht="16.5" x14ac:dyDescent="0.3">
      <c r="A16" s="20" t="s">
        <v>62</v>
      </c>
      <c r="B16" s="27" t="s">
        <v>64</v>
      </c>
      <c r="C16" s="34">
        <v>0.63971176941553243</v>
      </c>
      <c r="D16" s="35">
        <v>4.0032025620496394E-4</v>
      </c>
      <c r="E16" s="35">
        <v>0.64011208967173738</v>
      </c>
      <c r="F16" s="41">
        <v>2.922337870296237E-2</v>
      </c>
      <c r="G16" s="35">
        <v>4.0032025620496394E-4</v>
      </c>
      <c r="H16" s="40">
        <v>2.9623698959167333E-2</v>
      </c>
      <c r="I16" s="35">
        <v>0.26341072858286629</v>
      </c>
      <c r="J16" s="35">
        <v>6.6853482786228977E-2</v>
      </c>
      <c r="K16" s="35">
        <v>0.33026421136909528</v>
      </c>
      <c r="L16" s="39">
        <f t="shared" si="0"/>
        <v>1</v>
      </c>
    </row>
    <row r="17" spans="1:12" ht="16.5" x14ac:dyDescent="0.3">
      <c r="A17" s="20" t="s">
        <v>62</v>
      </c>
      <c r="B17" s="21" t="s">
        <v>65</v>
      </c>
      <c r="C17" s="34">
        <v>0.37166046668921204</v>
      </c>
      <c r="D17" s="35">
        <v>3.3818058843422386E-4</v>
      </c>
      <c r="E17" s="35">
        <v>0.37199864727764625</v>
      </c>
      <c r="F17" s="41">
        <v>1.217450118363206E-2</v>
      </c>
      <c r="G17" s="35">
        <v>6.7636117686844773E-4</v>
      </c>
      <c r="H17" s="40">
        <v>1.2850862360500507E-2</v>
      </c>
      <c r="I17" s="35">
        <v>0.5035508961785593</v>
      </c>
      <c r="J17" s="35">
        <v>0.11159959418329388</v>
      </c>
      <c r="K17" s="35">
        <v>0.61515049036185321</v>
      </c>
      <c r="L17" s="39">
        <f t="shared" si="0"/>
        <v>1</v>
      </c>
    </row>
    <row r="18" spans="1:12" ht="16.5" x14ac:dyDescent="0.3">
      <c r="A18" s="20" t="s">
        <v>29</v>
      </c>
      <c r="B18" s="27" t="s">
        <v>64</v>
      </c>
      <c r="C18" s="34">
        <v>0.74782860451650257</v>
      </c>
      <c r="D18" s="35">
        <v>5.7903879559930511E-4</v>
      </c>
      <c r="E18" s="35">
        <v>0.74840764331210186</v>
      </c>
      <c r="F18" s="41">
        <v>0.11696583671105965</v>
      </c>
      <c r="G18" s="35">
        <v>8.3092067168500289E-2</v>
      </c>
      <c r="H18" s="40">
        <v>0.20005790387955993</v>
      </c>
      <c r="I18" s="35">
        <v>5.06658946149392E-2</v>
      </c>
      <c r="J18" s="35">
        <v>8.6855819339895772E-4</v>
      </c>
      <c r="K18" s="35">
        <v>5.1534452808338162E-2</v>
      </c>
      <c r="L18" s="39">
        <f t="shared" si="0"/>
        <v>0.99999999999999989</v>
      </c>
    </row>
    <row r="19" spans="1:12" ht="16.5" x14ac:dyDescent="0.3">
      <c r="A19" s="20" t="s">
        <v>29</v>
      </c>
      <c r="B19" s="21" t="s">
        <v>30</v>
      </c>
      <c r="C19" s="34">
        <v>0.73714299795470783</v>
      </c>
      <c r="D19" s="35">
        <v>3.0383677090263916E-2</v>
      </c>
      <c r="E19" s="35">
        <v>0.76752667504497174</v>
      </c>
      <c r="F19" s="41">
        <v>0.11926763756437742</v>
      </c>
      <c r="G19" s="35">
        <v>2.5159557428353171E-2</v>
      </c>
      <c r="H19" s="40">
        <v>0.1444271949927306</v>
      </c>
      <c r="I19" s="35">
        <v>8.8046129962297631E-2</v>
      </c>
      <c r="J19" s="35">
        <v>0</v>
      </c>
      <c r="K19" s="35">
        <v>8.8046129962297631E-2</v>
      </c>
      <c r="L19" s="39">
        <f t="shared" si="0"/>
        <v>1</v>
      </c>
    </row>
    <row r="20" spans="1:12" ht="16.5" x14ac:dyDescent="0.3">
      <c r="A20" s="20" t="s">
        <v>66</v>
      </c>
      <c r="B20" s="21" t="s">
        <v>67</v>
      </c>
      <c r="C20" s="34">
        <v>0.73260332038149067</v>
      </c>
      <c r="D20" s="35">
        <v>1.7661603673613563E-3</v>
      </c>
      <c r="E20" s="35">
        <v>0.734369480748852</v>
      </c>
      <c r="F20" s="41">
        <v>2.5785941363475805E-2</v>
      </c>
      <c r="G20" s="35">
        <v>1.7661603673613563E-3</v>
      </c>
      <c r="H20" s="40">
        <v>2.7552101730837161E-2</v>
      </c>
      <c r="I20" s="35">
        <v>6.2168844931119745E-2</v>
      </c>
      <c r="J20" s="35">
        <v>0.1759095725891911</v>
      </c>
      <c r="K20" s="35">
        <v>0.23807841752031084</v>
      </c>
      <c r="L20" s="39">
        <f t="shared" si="0"/>
        <v>1</v>
      </c>
    </row>
    <row r="21" spans="1:12" ht="15.75" customHeight="1" x14ac:dyDescent="0.3">
      <c r="A21" s="20" t="s">
        <v>31</v>
      </c>
      <c r="B21" s="21" t="s">
        <v>32</v>
      </c>
      <c r="C21" s="34">
        <v>0.92528669060581492</v>
      </c>
      <c r="D21" s="35">
        <v>6.3709023514421409E-4</v>
      </c>
      <c r="E21" s="35">
        <v>0.92592378084095917</v>
      </c>
      <c r="F21" s="41">
        <v>3.5908722344492064E-2</v>
      </c>
      <c r="G21" s="35">
        <v>6.023398586818024E-3</v>
      </c>
      <c r="H21" s="40">
        <v>4.1932120931310088E-2</v>
      </c>
      <c r="I21" s="35">
        <v>2.7916135758137381E-2</v>
      </c>
      <c r="J21" s="35">
        <v>4.2279624695934206E-3</v>
      </c>
      <c r="K21" s="35">
        <v>3.2144098227730802E-2</v>
      </c>
      <c r="L21" s="39">
        <f t="shared" si="0"/>
        <v>1</v>
      </c>
    </row>
    <row r="22" spans="1:12" ht="15.75" customHeight="1" x14ac:dyDescent="0.3">
      <c r="A22" s="20" t="s">
        <v>31</v>
      </c>
      <c r="B22" s="21" t="s">
        <v>33</v>
      </c>
      <c r="C22" s="34">
        <v>0.91431536294905369</v>
      </c>
      <c r="D22" s="35">
        <v>1.4330187280723427E-3</v>
      </c>
      <c r="E22" s="35">
        <v>0.91574838167712602</v>
      </c>
      <c r="F22" s="41">
        <v>2.4361318377229827E-2</v>
      </c>
      <c r="G22" s="35">
        <v>2.767208578346593E-3</v>
      </c>
      <c r="H22" s="40">
        <v>2.712852695557642E-2</v>
      </c>
      <c r="I22" s="35">
        <v>4.9760339971339627E-2</v>
      </c>
      <c r="J22" s="35">
        <v>7.3627513959578991E-3</v>
      </c>
      <c r="K22" s="35">
        <v>5.7123091367297527E-2</v>
      </c>
      <c r="L22" s="39">
        <f t="shared" si="0"/>
        <v>1</v>
      </c>
    </row>
    <row r="23" spans="1:12" ht="15.75" customHeight="1" x14ac:dyDescent="0.3">
      <c r="A23" s="20" t="s">
        <v>31</v>
      </c>
      <c r="B23" s="21" t="s">
        <v>34</v>
      </c>
      <c r="C23" s="34">
        <v>0.8968101049025905</v>
      </c>
      <c r="D23" s="35">
        <v>1.0704345964461571E-3</v>
      </c>
      <c r="E23" s="35">
        <v>0.89788053949903657</v>
      </c>
      <c r="F23" s="41">
        <v>4.1961036180689359E-2</v>
      </c>
      <c r="G23" s="35">
        <v>3.1256690216227789E-2</v>
      </c>
      <c r="H23" s="40">
        <v>7.3217726396917149E-2</v>
      </c>
      <c r="I23" s="35">
        <v>2.8901734104046242E-2</v>
      </c>
      <c r="J23" s="35">
        <v>0</v>
      </c>
      <c r="K23" s="35">
        <v>2.8901734104046242E-2</v>
      </c>
      <c r="L23" s="39">
        <f t="shared" si="0"/>
        <v>1</v>
      </c>
    </row>
    <row r="24" spans="1:12" ht="15.75" customHeight="1" x14ac:dyDescent="0.3">
      <c r="A24" s="20" t="s">
        <v>31</v>
      </c>
      <c r="B24" s="21" t="s">
        <v>35</v>
      </c>
      <c r="C24" s="34">
        <v>0.92783584978706934</v>
      </c>
      <c r="D24" s="35">
        <v>1.9357336430507162E-3</v>
      </c>
      <c r="E24" s="35">
        <v>0.92977158343012001</v>
      </c>
      <c r="F24" s="41">
        <v>3.1591173054587689E-2</v>
      </c>
      <c r="G24" s="35">
        <v>4.3360433604336043E-3</v>
      </c>
      <c r="H24" s="40">
        <v>3.5927216415021293E-2</v>
      </c>
      <c r="I24" s="35">
        <v>3.3991482771970574E-2</v>
      </c>
      <c r="J24" s="35">
        <v>3.097173828881146E-4</v>
      </c>
      <c r="K24" s="35">
        <v>3.4301200154858692E-2</v>
      </c>
      <c r="L24" s="39">
        <f t="shared" si="0"/>
        <v>1</v>
      </c>
    </row>
    <row r="25" spans="1:12" ht="15.75" customHeight="1" x14ac:dyDescent="0.3">
      <c r="A25" s="20" t="s">
        <v>31</v>
      </c>
      <c r="B25" s="21" t="s">
        <v>36</v>
      </c>
      <c r="C25" s="34">
        <v>0.90141725719049604</v>
      </c>
      <c r="D25" s="35">
        <v>5.8357649020425173E-3</v>
      </c>
      <c r="E25" s="35">
        <v>0.90725302209253855</v>
      </c>
      <c r="F25" s="41">
        <v>3.8557732388495206E-2</v>
      </c>
      <c r="G25" s="35">
        <v>5.4189245518966233E-3</v>
      </c>
      <c r="H25" s="40">
        <v>4.397665694039183E-2</v>
      </c>
      <c r="I25" s="35">
        <v>4.8770320967069611E-2</v>
      </c>
      <c r="J25" s="35">
        <v>0</v>
      </c>
      <c r="K25" s="35">
        <v>4.8770320967069611E-2</v>
      </c>
      <c r="L25" s="39">
        <f t="shared" si="0"/>
        <v>1</v>
      </c>
    </row>
    <row r="26" spans="1:12" ht="15.75" customHeight="1" x14ac:dyDescent="0.3">
      <c r="A26" s="20" t="s">
        <v>31</v>
      </c>
      <c r="B26" s="21" t="s">
        <v>37</v>
      </c>
      <c r="C26" s="34">
        <v>0.93074948123659129</v>
      </c>
      <c r="D26" s="35">
        <v>3.798403263813175E-3</v>
      </c>
      <c r="E26" s="35">
        <v>0.93454788450040449</v>
      </c>
      <c r="F26" s="41">
        <v>3.7948862237540883E-2</v>
      </c>
      <c r="G26" s="35">
        <v>5.8031160974923507E-3</v>
      </c>
      <c r="H26" s="40">
        <v>4.3751978335033234E-2</v>
      </c>
      <c r="I26" s="35">
        <v>2.1700137164562306E-2</v>
      </c>
      <c r="J26" s="35">
        <v>0</v>
      </c>
      <c r="K26" s="35">
        <v>2.1700137164562306E-2</v>
      </c>
      <c r="L26" s="39">
        <f t="shared" si="0"/>
        <v>1</v>
      </c>
    </row>
    <row r="27" spans="1:12" ht="15.75" customHeight="1" x14ac:dyDescent="0.3">
      <c r="A27" s="20" t="s">
        <v>38</v>
      </c>
      <c r="B27" s="21" t="s">
        <v>39</v>
      </c>
      <c r="C27" s="34">
        <v>0.90578158458244107</v>
      </c>
      <c r="D27" s="35">
        <v>6.1180789232181095E-3</v>
      </c>
      <c r="E27" s="35">
        <v>0.91189966350565921</v>
      </c>
      <c r="F27" s="41">
        <v>3.2731722239216887E-2</v>
      </c>
      <c r="G27" s="35">
        <v>9.177118384827164E-4</v>
      </c>
      <c r="H27" s="40">
        <v>3.3649434077699603E-2</v>
      </c>
      <c r="I27" s="35">
        <v>5.4450902416641175E-2</v>
      </c>
      <c r="J27" s="35">
        <v>0</v>
      </c>
      <c r="K27" s="35">
        <v>5.4450902416641175E-2</v>
      </c>
      <c r="L27" s="39">
        <f t="shared" si="0"/>
        <v>1</v>
      </c>
    </row>
    <row r="28" spans="1:12" ht="15.75" customHeight="1" x14ac:dyDescent="0.3">
      <c r="A28" s="20" t="s">
        <v>38</v>
      </c>
      <c r="B28" s="21" t="s">
        <v>40</v>
      </c>
      <c r="C28" s="34">
        <v>0.92897820252667407</v>
      </c>
      <c r="D28" s="35">
        <v>0</v>
      </c>
      <c r="E28" s="35">
        <v>0.92897820252667407</v>
      </c>
      <c r="F28" s="41">
        <v>2.5463114485828369E-2</v>
      </c>
      <c r="G28" s="35">
        <v>5.891209007003993E-4</v>
      </c>
      <c r="H28" s="40">
        <v>2.6052235386528767E-2</v>
      </c>
      <c r="I28" s="35">
        <v>2.7361392943640768E-2</v>
      </c>
      <c r="J28" s="35">
        <v>1.7608169143156379E-2</v>
      </c>
      <c r="K28" s="35">
        <v>4.4969562086797144E-2</v>
      </c>
      <c r="L28" s="39">
        <f t="shared" si="0"/>
        <v>1</v>
      </c>
    </row>
    <row r="29" spans="1:12" ht="15.75" customHeight="1" x14ac:dyDescent="0.3">
      <c r="A29" s="20" t="s">
        <v>38</v>
      </c>
      <c r="B29" s="21" t="s">
        <v>68</v>
      </c>
      <c r="C29" s="34">
        <v>0.91390306122448983</v>
      </c>
      <c r="D29" s="35">
        <v>1.5943877551020409E-3</v>
      </c>
      <c r="E29" s="35">
        <v>0.91549744897959184</v>
      </c>
      <c r="F29" s="41">
        <v>4.2835884353741499E-2</v>
      </c>
      <c r="G29" s="35">
        <v>0</v>
      </c>
      <c r="H29" s="40">
        <v>4.2835884353741499E-2</v>
      </c>
      <c r="I29" s="35">
        <v>4.1028911564625847E-2</v>
      </c>
      <c r="J29" s="35">
        <v>6.3775510204081628E-4</v>
      </c>
      <c r="K29" s="35">
        <v>4.1666666666666664E-2</v>
      </c>
      <c r="L29" s="39">
        <f t="shared" si="0"/>
        <v>1</v>
      </c>
    </row>
    <row r="30" spans="1:12" ht="15.75" customHeight="1" x14ac:dyDescent="0.3">
      <c r="A30" s="20" t="s">
        <v>38</v>
      </c>
      <c r="B30" s="21" t="s">
        <v>69</v>
      </c>
      <c r="C30" s="34">
        <v>0.78822629969418956</v>
      </c>
      <c r="D30" s="35">
        <v>3.0581039755351682E-3</v>
      </c>
      <c r="E30" s="35">
        <v>0.79128440366972475</v>
      </c>
      <c r="F30" s="41">
        <v>5.4281345565749234E-2</v>
      </c>
      <c r="G30" s="35">
        <v>0</v>
      </c>
      <c r="H30" s="40">
        <v>5.4281345565749234E-2</v>
      </c>
      <c r="I30" s="35">
        <v>0.15443425076452599</v>
      </c>
      <c r="J30" s="35">
        <v>0</v>
      </c>
      <c r="K30" s="35">
        <v>0.15443425076452599</v>
      </c>
      <c r="L30" s="39">
        <f t="shared" si="0"/>
        <v>1</v>
      </c>
    </row>
    <row r="31" spans="1:12" ht="15.75" customHeight="1" x14ac:dyDescent="0.3">
      <c r="A31" s="20" t="s">
        <v>70</v>
      </c>
      <c r="B31" s="21" t="s">
        <v>71</v>
      </c>
      <c r="C31" s="34">
        <v>0.86360383569486188</v>
      </c>
      <c r="D31" s="35">
        <v>4.2936882782310007E-4</v>
      </c>
      <c r="E31" s="35">
        <v>0.86403320452268495</v>
      </c>
      <c r="F31" s="41">
        <v>5.3527980535279802E-2</v>
      </c>
      <c r="G31" s="35">
        <v>5.4386718190926001E-3</v>
      </c>
      <c r="H31" s="40">
        <v>5.8966652354372408E-2</v>
      </c>
      <c r="I31" s="35">
        <v>7.3708315442965508E-2</v>
      </c>
      <c r="J31" s="35">
        <v>3.2918276799771004E-3</v>
      </c>
      <c r="K31" s="35">
        <v>7.7000143122942608E-2</v>
      </c>
      <c r="L31" s="39">
        <f t="shared" si="0"/>
        <v>0.99999999999999989</v>
      </c>
    </row>
    <row r="32" spans="1:12" ht="15.75" customHeight="1" x14ac:dyDescent="0.3">
      <c r="A32" s="20" t="s">
        <v>70</v>
      </c>
      <c r="B32" s="21" t="s">
        <v>72</v>
      </c>
      <c r="C32" s="34">
        <v>0.93412698412698414</v>
      </c>
      <c r="D32" s="35">
        <v>5.2910052910052914E-4</v>
      </c>
      <c r="E32" s="35">
        <v>0.93465608465608463</v>
      </c>
      <c r="F32" s="41">
        <v>2.0634920634920634E-2</v>
      </c>
      <c r="G32" s="35">
        <v>6.6137566137566134E-3</v>
      </c>
      <c r="H32" s="40">
        <v>2.7248677248677248E-2</v>
      </c>
      <c r="I32" s="35">
        <v>2.9894179894179893E-2</v>
      </c>
      <c r="J32" s="35">
        <v>8.2010582010582003E-3</v>
      </c>
      <c r="K32" s="35">
        <v>3.8095238095238099E-2</v>
      </c>
      <c r="L32" s="39">
        <f t="shared" si="0"/>
        <v>1</v>
      </c>
    </row>
    <row r="33" spans="1:12" ht="15.75" customHeight="1" x14ac:dyDescent="0.3">
      <c r="A33" s="20" t="s">
        <v>41</v>
      </c>
      <c r="B33" s="21" t="s">
        <v>73</v>
      </c>
      <c r="C33" s="34">
        <v>0.89755351681957185</v>
      </c>
      <c r="D33" s="35">
        <v>2.5484199796126403E-3</v>
      </c>
      <c r="E33" s="35">
        <v>0.90010193679918449</v>
      </c>
      <c r="F33" s="41">
        <v>4.9694189602446481E-2</v>
      </c>
      <c r="G33" s="35">
        <v>9.1743119266055051E-3</v>
      </c>
      <c r="H33" s="40">
        <v>5.8868501529051986E-2</v>
      </c>
      <c r="I33" s="35">
        <v>4.1029561671763505E-2</v>
      </c>
      <c r="J33" s="35">
        <v>0</v>
      </c>
      <c r="K33" s="35">
        <v>4.1029561671763505E-2</v>
      </c>
      <c r="L33" s="39">
        <f t="shared" si="0"/>
        <v>1</v>
      </c>
    </row>
    <row r="34" spans="1:12" ht="15.75" customHeight="1" x14ac:dyDescent="0.3">
      <c r="A34" s="20" t="s">
        <v>41</v>
      </c>
      <c r="B34" s="21" t="s">
        <v>42</v>
      </c>
      <c r="C34" s="34">
        <v>0.7658011188110545</v>
      </c>
      <c r="D34" s="35">
        <v>2.2626701177256407E-2</v>
      </c>
      <c r="E34" s="35">
        <v>0.78842781998831091</v>
      </c>
      <c r="F34" s="41">
        <v>0.15078901227352426</v>
      </c>
      <c r="G34" s="35">
        <v>2.0414127076897385E-2</v>
      </c>
      <c r="H34" s="40">
        <v>0.17120313935042164</v>
      </c>
      <c r="I34" s="35">
        <v>4.0369040661267432E-2</v>
      </c>
      <c r="J34" s="35">
        <v>0</v>
      </c>
      <c r="K34" s="35">
        <v>4.0369040661267432E-2</v>
      </c>
      <c r="L34" s="39">
        <f t="shared" si="0"/>
        <v>1</v>
      </c>
    </row>
    <row r="35" spans="1:12" ht="15.75" customHeight="1" x14ac:dyDescent="0.3">
      <c r="A35" s="20" t="s">
        <v>41</v>
      </c>
      <c r="B35" s="21" t="s">
        <v>43</v>
      </c>
      <c r="C35" s="34">
        <v>0.94137310362561066</v>
      </c>
      <c r="D35" s="35">
        <v>2.0570840833119054E-3</v>
      </c>
      <c r="E35" s="35">
        <v>0.94343018770892262</v>
      </c>
      <c r="F35" s="41">
        <v>4.1655952687066081E-2</v>
      </c>
      <c r="G35" s="35">
        <v>2.5713551041398816E-3</v>
      </c>
      <c r="H35" s="40">
        <v>4.4227307791205962E-2</v>
      </c>
      <c r="I35" s="35">
        <v>1.2342504499871433E-2</v>
      </c>
      <c r="J35" s="35">
        <v>0</v>
      </c>
      <c r="K35" s="35">
        <v>1.2342504499871433E-2</v>
      </c>
      <c r="L35" s="39">
        <f t="shared" si="0"/>
        <v>1</v>
      </c>
    </row>
    <row r="36" spans="1:12" ht="15.75" customHeight="1" x14ac:dyDescent="0.3">
      <c r="A36" s="20" t="s">
        <v>41</v>
      </c>
      <c r="B36" s="21" t="s">
        <v>44</v>
      </c>
      <c r="C36" s="34">
        <v>0.9348591549295775</v>
      </c>
      <c r="D36" s="35">
        <v>5.1113130395274878E-4</v>
      </c>
      <c r="E36" s="35">
        <v>0.93537028623353025</v>
      </c>
      <c r="F36" s="41">
        <v>3.4245797364834164E-2</v>
      </c>
      <c r="G36" s="35">
        <v>4.9977283053157656E-3</v>
      </c>
      <c r="H36" s="40">
        <v>3.924352567014993E-2</v>
      </c>
      <c r="I36" s="35">
        <v>2.4477510222626078E-2</v>
      </c>
      <c r="J36" s="35">
        <v>9.0867787369377552E-4</v>
      </c>
      <c r="K36" s="35">
        <v>2.5386188096319855E-2</v>
      </c>
      <c r="L36" s="39">
        <f t="shared" si="0"/>
        <v>1</v>
      </c>
    </row>
    <row r="37" spans="1:12" ht="15.75" customHeight="1" x14ac:dyDescent="0.3">
      <c r="A37" s="20" t="s">
        <v>41</v>
      </c>
      <c r="B37" s="21" t="s">
        <v>74</v>
      </c>
      <c r="C37" s="34">
        <v>0.91792547834843907</v>
      </c>
      <c r="D37" s="35">
        <v>2.014098690835851E-3</v>
      </c>
      <c r="E37" s="35">
        <v>0.91993957703927487</v>
      </c>
      <c r="F37" s="41">
        <v>5.6646525679758308E-2</v>
      </c>
      <c r="G37" s="35">
        <v>7.3011077542799599E-3</v>
      </c>
      <c r="H37" s="40">
        <v>6.3947633434038267E-2</v>
      </c>
      <c r="I37" s="35">
        <v>1.5861027190332326E-2</v>
      </c>
      <c r="J37" s="35">
        <v>2.5176233635448137E-4</v>
      </c>
      <c r="K37" s="35">
        <v>1.6112789526686808E-2</v>
      </c>
      <c r="L37" s="39">
        <f t="shared" si="0"/>
        <v>1</v>
      </c>
    </row>
    <row r="38" spans="1:12" ht="15.75" customHeight="1" x14ac:dyDescent="0.3">
      <c r="A38" s="20" t="s">
        <v>45</v>
      </c>
      <c r="B38" s="21" t="s">
        <v>75</v>
      </c>
      <c r="C38" s="34">
        <v>0.93916061849163779</v>
      </c>
      <c r="D38" s="35">
        <v>1.514673398548438E-3</v>
      </c>
      <c r="E38" s="35">
        <v>0.94067529189018617</v>
      </c>
      <c r="F38" s="41">
        <v>2.6506784474597665E-2</v>
      </c>
      <c r="G38" s="35">
        <v>2.9662354054906912E-3</v>
      </c>
      <c r="H38" s="40">
        <v>2.9473019880088356E-2</v>
      </c>
      <c r="I38" s="35">
        <v>2.7705900915115177E-2</v>
      </c>
      <c r="J38" s="35">
        <v>2.1457873146102872E-3</v>
      </c>
      <c r="K38" s="35">
        <v>2.9851688229725466E-2</v>
      </c>
      <c r="L38" s="39">
        <f t="shared" si="0"/>
        <v>1</v>
      </c>
    </row>
    <row r="39" spans="1:12" ht="15.75" customHeight="1" x14ac:dyDescent="0.3">
      <c r="A39" s="20" t="s">
        <v>45</v>
      </c>
      <c r="B39" s="21" t="s">
        <v>46</v>
      </c>
      <c r="C39" s="34">
        <v>0.91622062959266992</v>
      </c>
      <c r="D39" s="35">
        <v>1.3607910732105597E-3</v>
      </c>
      <c r="E39" s="35">
        <v>0.91758142066588044</v>
      </c>
      <c r="F39" s="41">
        <v>2.4403519912909372E-2</v>
      </c>
      <c r="G39" s="35">
        <v>7.4389912002177268E-3</v>
      </c>
      <c r="H39" s="40">
        <v>3.1842511113127095E-2</v>
      </c>
      <c r="I39" s="35">
        <v>3.6333121654721946E-2</v>
      </c>
      <c r="J39" s="35">
        <v>1.4242946566270525E-2</v>
      </c>
      <c r="K39" s="35">
        <v>5.0576068220992469E-2</v>
      </c>
      <c r="L39" s="39">
        <f t="shared" si="0"/>
        <v>1</v>
      </c>
    </row>
    <row r="40" spans="1:12" ht="15.75" customHeight="1" x14ac:dyDescent="0.3">
      <c r="A40" s="20" t="s">
        <v>45</v>
      </c>
      <c r="B40" s="21" t="s">
        <v>47</v>
      </c>
      <c r="C40" s="34">
        <v>0.91939692664540451</v>
      </c>
      <c r="D40" s="35">
        <v>5.7987822557262975E-3</v>
      </c>
      <c r="E40" s="35">
        <v>0.92519570890113079</v>
      </c>
      <c r="F40" s="41">
        <v>3.9141780226152507E-2</v>
      </c>
      <c r="G40" s="35">
        <v>8.4082342708031322E-3</v>
      </c>
      <c r="H40" s="40">
        <v>4.7550014496955638E-2</v>
      </c>
      <c r="I40" s="35">
        <v>2.72542766019136E-2</v>
      </c>
      <c r="J40" s="35">
        <v>0</v>
      </c>
      <c r="K40" s="35">
        <v>2.72542766019136E-2</v>
      </c>
      <c r="L40" s="39">
        <f t="shared" si="0"/>
        <v>1</v>
      </c>
    </row>
    <row r="41" spans="1:12" ht="15.75" customHeight="1" x14ac:dyDescent="0.3">
      <c r="A41" s="20" t="s">
        <v>48</v>
      </c>
      <c r="B41" s="21" t="s">
        <v>49</v>
      </c>
      <c r="C41" s="34">
        <v>0.86060657261130358</v>
      </c>
      <c r="D41" s="35">
        <v>8.27912477823773E-3</v>
      </c>
      <c r="E41" s="35">
        <v>0.86888569738954124</v>
      </c>
      <c r="F41" s="41">
        <v>6.2431359297119203E-2</v>
      </c>
      <c r="G41" s="35">
        <v>3.0919996620765396E-2</v>
      </c>
      <c r="H41" s="40">
        <v>9.3351355917884599E-2</v>
      </c>
      <c r="I41" s="35">
        <v>3.7762946692574129E-2</v>
      </c>
      <c r="J41" s="35">
        <v>0</v>
      </c>
      <c r="K41" s="35">
        <v>3.7762946692574129E-2</v>
      </c>
      <c r="L41" s="39">
        <f t="shared" si="0"/>
        <v>1</v>
      </c>
    </row>
    <row r="42" spans="1:12" ht="15.75" customHeight="1" x14ac:dyDescent="0.3">
      <c r="A42" s="20" t="s">
        <v>48</v>
      </c>
      <c r="B42" s="21" t="s">
        <v>50</v>
      </c>
      <c r="C42" s="34">
        <v>0.90502724120851907</v>
      </c>
      <c r="D42" s="35">
        <v>9.9058940069341253E-3</v>
      </c>
      <c r="E42" s="35">
        <v>0.91493313521545316</v>
      </c>
      <c r="F42" s="41">
        <v>4.2471520554730066E-2</v>
      </c>
      <c r="G42" s="35">
        <v>1.2134720158494304E-2</v>
      </c>
      <c r="H42" s="40">
        <v>5.4606240713224369E-2</v>
      </c>
      <c r="I42" s="35">
        <v>3.0460624071322436E-2</v>
      </c>
      <c r="J42" s="35">
        <v>0</v>
      </c>
      <c r="K42" s="35">
        <v>3.0460624071322436E-2</v>
      </c>
      <c r="L42" s="39">
        <f t="shared" si="0"/>
        <v>1</v>
      </c>
    </row>
    <row r="43" spans="1:12" ht="15.75" customHeight="1" x14ac:dyDescent="0.3">
      <c r="A43" s="28" t="s">
        <v>76</v>
      </c>
      <c r="B43" s="29" t="s">
        <v>77</v>
      </c>
      <c r="C43" s="42">
        <v>0.59725685785536164</v>
      </c>
      <c r="D43" s="43">
        <v>0</v>
      </c>
      <c r="E43" s="43">
        <v>0.59725685785536164</v>
      </c>
      <c r="F43" s="45">
        <v>2.4937655860349128E-2</v>
      </c>
      <c r="G43" s="43">
        <v>5.6109725685785537E-3</v>
      </c>
      <c r="H43" s="44">
        <v>3.0548628428927679E-2</v>
      </c>
      <c r="I43" s="45">
        <v>0.13216957605985039</v>
      </c>
      <c r="J43" s="43">
        <v>0.24002493765586036</v>
      </c>
      <c r="K43" s="43">
        <v>0.37219451371571072</v>
      </c>
      <c r="L43" s="46">
        <f t="shared" si="0"/>
        <v>1</v>
      </c>
    </row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3:B4"/>
    <mergeCell ref="C3:L3"/>
    <mergeCell ref="C4:E4"/>
    <mergeCell ref="F4:H4"/>
    <mergeCell ref="I4:K4"/>
    <mergeCell ref="L4:L5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0"/>
  <sheetViews>
    <sheetView workbookViewId="0"/>
  </sheetViews>
  <sheetFormatPr defaultColWidth="14.42578125" defaultRowHeight="15" customHeight="1" x14ac:dyDescent="0.25"/>
  <cols>
    <col min="1" max="2" width="20.7109375" customWidth="1"/>
    <col min="3" max="7" width="15.7109375" customWidth="1"/>
    <col min="8" max="26" width="8.85546875" customWidth="1"/>
  </cols>
  <sheetData>
    <row r="1" spans="1:7" x14ac:dyDescent="0.25">
      <c r="A1" s="1" t="s">
        <v>130</v>
      </c>
    </row>
    <row r="3" spans="1:7" ht="31.5" customHeight="1" x14ac:dyDescent="0.25">
      <c r="A3" s="220" t="s">
        <v>98</v>
      </c>
      <c r="B3" s="209"/>
      <c r="C3" s="222" t="s">
        <v>131</v>
      </c>
      <c r="D3" s="221"/>
      <c r="E3" s="221"/>
      <c r="F3" s="209"/>
    </row>
    <row r="4" spans="1:7" ht="64.5" customHeight="1" x14ac:dyDescent="0.25">
      <c r="A4" s="11" t="s">
        <v>8</v>
      </c>
      <c r="B4" s="16" t="s">
        <v>9</v>
      </c>
      <c r="C4" s="63" t="s">
        <v>132</v>
      </c>
      <c r="D4" s="12" t="s">
        <v>133</v>
      </c>
      <c r="E4" s="12" t="s">
        <v>134</v>
      </c>
      <c r="F4" s="16" t="s">
        <v>8</v>
      </c>
    </row>
    <row r="5" spans="1:7" ht="16.5" x14ac:dyDescent="0.3">
      <c r="A5" s="20" t="s">
        <v>25</v>
      </c>
      <c r="B5" s="21" t="s">
        <v>26</v>
      </c>
      <c r="C5" s="64">
        <v>4.9029705785425266</v>
      </c>
      <c r="D5" s="65">
        <v>3.0639394236053876</v>
      </c>
      <c r="E5" s="65">
        <v>1.3063865406408419</v>
      </c>
      <c r="F5" s="66">
        <v>0.5326446142962965</v>
      </c>
      <c r="G5" s="67"/>
    </row>
    <row r="6" spans="1:7" ht="16.5" x14ac:dyDescent="0.3">
      <c r="A6" s="20" t="s">
        <v>27</v>
      </c>
      <c r="B6" s="21" t="s">
        <v>54</v>
      </c>
      <c r="C6" s="64">
        <v>2.6211755815666877</v>
      </c>
      <c r="D6" s="65">
        <v>0.53620015910704022</v>
      </c>
      <c r="E6" s="65">
        <v>1.8377395189349992</v>
      </c>
      <c r="F6" s="64">
        <v>0.2472359035246485</v>
      </c>
    </row>
    <row r="7" spans="1:7" ht="16.5" x14ac:dyDescent="0.3">
      <c r="A7" s="20" t="s">
        <v>27</v>
      </c>
      <c r="B7" s="21" t="s">
        <v>28</v>
      </c>
      <c r="C7" s="64">
        <v>2.7789237311355053</v>
      </c>
      <c r="D7" s="65">
        <v>0.8345751867589889</v>
      </c>
      <c r="E7" s="65">
        <v>1.7049741226505397</v>
      </c>
      <c r="F7" s="64">
        <v>0.23937442172597667</v>
      </c>
    </row>
    <row r="8" spans="1:7" ht="16.5" x14ac:dyDescent="0.3">
      <c r="A8" s="20" t="s">
        <v>27</v>
      </c>
      <c r="B8" s="21" t="s">
        <v>55</v>
      </c>
      <c r="C8" s="64">
        <v>2.4882034489787457</v>
      </c>
      <c r="D8" s="65">
        <v>0.60327145925238612</v>
      </c>
      <c r="E8" s="65">
        <v>1.6356649977913054</v>
      </c>
      <c r="F8" s="64">
        <v>0.24926699193505414</v>
      </c>
    </row>
    <row r="9" spans="1:7" ht="16.5" x14ac:dyDescent="0.3">
      <c r="A9" s="20" t="s">
        <v>27</v>
      </c>
      <c r="B9" s="21" t="s">
        <v>56</v>
      </c>
      <c r="C9" s="64">
        <v>2.389487515596143</v>
      </c>
      <c r="D9" s="65">
        <v>0.73364618347545341</v>
      </c>
      <c r="E9" s="65">
        <v>1.4156246404750499</v>
      </c>
      <c r="F9" s="64">
        <v>0.24021669164563964</v>
      </c>
    </row>
    <row r="10" spans="1:7" ht="16.5" x14ac:dyDescent="0.3">
      <c r="A10" s="20" t="s">
        <v>57</v>
      </c>
      <c r="B10" s="21" t="s">
        <v>58</v>
      </c>
      <c r="C10" s="64">
        <v>2.3592908133507735</v>
      </c>
      <c r="D10" s="65">
        <v>0.39016367734113805</v>
      </c>
      <c r="E10" s="65">
        <v>1.5766864368333462</v>
      </c>
      <c r="F10" s="64">
        <v>0.39244069917628915</v>
      </c>
    </row>
    <row r="11" spans="1:7" ht="16.5" x14ac:dyDescent="0.3">
      <c r="A11" s="20" t="s">
        <v>57</v>
      </c>
      <c r="B11" s="21" t="s">
        <v>59</v>
      </c>
      <c r="C11" s="64">
        <v>2.8196054143955642</v>
      </c>
      <c r="D11" s="65">
        <v>0.37756351288762841</v>
      </c>
      <c r="E11" s="65">
        <v>2.0558039942557333</v>
      </c>
      <c r="F11" s="64">
        <v>0.38623790725220281</v>
      </c>
    </row>
    <row r="12" spans="1:7" ht="16.5" x14ac:dyDescent="0.3">
      <c r="A12" s="20" t="s">
        <v>57</v>
      </c>
      <c r="B12" s="21" t="s">
        <v>60</v>
      </c>
      <c r="C12" s="64">
        <v>2.424013870015568</v>
      </c>
      <c r="D12" s="65">
        <v>1.0138132027079465</v>
      </c>
      <c r="E12" s="65">
        <v>1.0109691121392836</v>
      </c>
      <c r="F12" s="64">
        <v>0.39923155516833775</v>
      </c>
    </row>
    <row r="13" spans="1:7" ht="16.5" x14ac:dyDescent="0.3">
      <c r="A13" s="20" t="s">
        <v>57</v>
      </c>
      <c r="B13" s="21" t="s">
        <v>61</v>
      </c>
      <c r="C13" s="64">
        <v>2.3203707567321006</v>
      </c>
      <c r="D13" s="65">
        <v>0.33925753784936591</v>
      </c>
      <c r="E13" s="65">
        <v>1.6017592934232796</v>
      </c>
      <c r="F13" s="64">
        <v>0.37935392545945495</v>
      </c>
    </row>
    <row r="14" spans="1:7" ht="16.5" x14ac:dyDescent="0.3">
      <c r="A14" s="20" t="s">
        <v>62</v>
      </c>
      <c r="B14" s="21" t="s">
        <v>63</v>
      </c>
      <c r="C14" s="64">
        <v>2.7801626255092078</v>
      </c>
      <c r="D14" s="65">
        <v>0.38062345241048834</v>
      </c>
      <c r="E14" s="65">
        <v>1.1528350883280238</v>
      </c>
      <c r="F14" s="64">
        <v>1.2467040847706958</v>
      </c>
    </row>
    <row r="15" spans="1:7" ht="16.5" x14ac:dyDescent="0.3">
      <c r="A15" s="20" t="s">
        <v>62</v>
      </c>
      <c r="B15" s="27" t="s">
        <v>64</v>
      </c>
      <c r="C15" s="64">
        <v>2.8996224141734599</v>
      </c>
      <c r="D15" s="65">
        <v>0.48880121800493487</v>
      </c>
      <c r="E15" s="65">
        <v>1.1480040606017174</v>
      </c>
      <c r="F15" s="64">
        <v>1.2628171355668076</v>
      </c>
    </row>
    <row r="16" spans="1:7" ht="16.5" x14ac:dyDescent="0.3">
      <c r="A16" s="20" t="s">
        <v>62</v>
      </c>
      <c r="B16" s="21" t="s">
        <v>65</v>
      </c>
      <c r="C16" s="64">
        <v>2.962575065204625</v>
      </c>
      <c r="D16" s="65">
        <v>0.54523785631762611</v>
      </c>
      <c r="E16" s="65">
        <v>1.1694471158458581</v>
      </c>
      <c r="F16" s="64">
        <v>1.2478900930411407</v>
      </c>
    </row>
    <row r="17" spans="1:6" ht="16.5" x14ac:dyDescent="0.3">
      <c r="A17" s="20" t="s">
        <v>29</v>
      </c>
      <c r="B17" s="27" t="s">
        <v>64</v>
      </c>
      <c r="C17" s="64">
        <v>1.6952953979327199</v>
      </c>
      <c r="D17" s="65">
        <v>0.43477472481284701</v>
      </c>
      <c r="E17" s="65">
        <v>0.82099959545766465</v>
      </c>
      <c r="F17" s="64">
        <v>0.43952107766220827</v>
      </c>
    </row>
    <row r="18" spans="1:6" ht="16.5" x14ac:dyDescent="0.3">
      <c r="A18" s="20" t="s">
        <v>29</v>
      </c>
      <c r="B18" s="21" t="s">
        <v>30</v>
      </c>
      <c r="C18" s="64">
        <v>3.1309338116487324</v>
      </c>
      <c r="D18" s="65">
        <v>1.6834106277564524</v>
      </c>
      <c r="E18" s="65">
        <v>0.96242152152381732</v>
      </c>
      <c r="F18" s="64">
        <v>0.48510166236846242</v>
      </c>
    </row>
    <row r="19" spans="1:6" ht="16.5" x14ac:dyDescent="0.3">
      <c r="A19" s="20" t="s">
        <v>66</v>
      </c>
      <c r="B19" s="21" t="s">
        <v>67</v>
      </c>
      <c r="C19" s="64">
        <v>2.3632775456148383</v>
      </c>
      <c r="D19" s="65">
        <v>0.2963416129843548</v>
      </c>
      <c r="E19" s="65">
        <v>1.6953541531652399</v>
      </c>
      <c r="F19" s="64">
        <v>0.37158177946524346</v>
      </c>
    </row>
    <row r="20" spans="1:6" ht="16.5" x14ac:dyDescent="0.3">
      <c r="A20" s="20" t="s">
        <v>31</v>
      </c>
      <c r="B20" s="21" t="s">
        <v>32</v>
      </c>
      <c r="C20" s="64">
        <v>2.7648377990442019</v>
      </c>
      <c r="D20" s="65">
        <v>0.5783547551734719</v>
      </c>
      <c r="E20" s="65">
        <v>1.7999075384221943</v>
      </c>
      <c r="F20" s="64">
        <v>0.38657550544853564</v>
      </c>
    </row>
    <row r="21" spans="1:6" ht="15.75" customHeight="1" x14ac:dyDescent="0.3">
      <c r="A21" s="20" t="s">
        <v>31</v>
      </c>
      <c r="B21" s="21" t="s">
        <v>33</v>
      </c>
      <c r="C21" s="64">
        <v>2.0695461467296612</v>
      </c>
      <c r="D21" s="65">
        <v>0.44170808986667826</v>
      </c>
      <c r="E21" s="65">
        <v>1.2436443488263318</v>
      </c>
      <c r="F21" s="64">
        <v>0.38419370803665115</v>
      </c>
    </row>
    <row r="22" spans="1:6" ht="15.75" customHeight="1" x14ac:dyDescent="0.3">
      <c r="A22" s="20" t="s">
        <v>31</v>
      </c>
      <c r="B22" s="21" t="s">
        <v>34</v>
      </c>
      <c r="C22" s="64">
        <v>2.7092345901041104</v>
      </c>
      <c r="D22" s="65">
        <v>0.81249766463885231</v>
      </c>
      <c r="E22" s="65">
        <v>1.5448549079966238</v>
      </c>
      <c r="F22" s="64">
        <v>0.35188201746863434</v>
      </c>
    </row>
    <row r="23" spans="1:6" ht="15.75" customHeight="1" x14ac:dyDescent="0.3">
      <c r="A23" s="20" t="s">
        <v>31</v>
      </c>
      <c r="B23" s="21" t="s">
        <v>35</v>
      </c>
      <c r="C23" s="64">
        <v>2.3420090707724293</v>
      </c>
      <c r="D23" s="65">
        <v>0.67573970777621895</v>
      </c>
      <c r="E23" s="65">
        <v>1.2936141227590827</v>
      </c>
      <c r="F23" s="64">
        <v>0.37265524023712743</v>
      </c>
    </row>
    <row r="24" spans="1:6" ht="15.75" customHeight="1" x14ac:dyDescent="0.3">
      <c r="A24" s="20" t="s">
        <v>31</v>
      </c>
      <c r="B24" s="21" t="s">
        <v>36</v>
      </c>
      <c r="C24" s="64">
        <v>2.2682792300574857</v>
      </c>
      <c r="D24" s="65">
        <v>0.70559352481667736</v>
      </c>
      <c r="E24" s="65">
        <v>1.1912514426713086</v>
      </c>
      <c r="F24" s="64">
        <v>0.37143426256949991</v>
      </c>
    </row>
    <row r="25" spans="1:6" ht="15.75" customHeight="1" x14ac:dyDescent="0.3">
      <c r="A25" s="20" t="s">
        <v>31</v>
      </c>
      <c r="B25" s="21" t="s">
        <v>37</v>
      </c>
      <c r="C25" s="64">
        <v>2.7065194138377198</v>
      </c>
      <c r="D25" s="65">
        <v>0.82672514313518219</v>
      </c>
      <c r="E25" s="65">
        <v>1.5127306123681035</v>
      </c>
      <c r="F25" s="64">
        <v>0.36706365833443411</v>
      </c>
    </row>
    <row r="26" spans="1:6" ht="15.75" customHeight="1" x14ac:dyDescent="0.3">
      <c r="A26" s="20" t="s">
        <v>38</v>
      </c>
      <c r="B26" s="21" t="s">
        <v>39</v>
      </c>
      <c r="C26" s="64">
        <v>2.962767835963243</v>
      </c>
      <c r="D26" s="65">
        <v>1.8737324666013986</v>
      </c>
      <c r="E26" s="65">
        <v>0.82351908651917893</v>
      </c>
      <c r="F26" s="64">
        <v>0.2655162828426656</v>
      </c>
    </row>
    <row r="27" spans="1:6" ht="15.75" customHeight="1" x14ac:dyDescent="0.3">
      <c r="A27" s="20" t="s">
        <v>38</v>
      </c>
      <c r="B27" s="21" t="s">
        <v>40</v>
      </c>
      <c r="C27" s="64">
        <v>1.8948058412280706</v>
      </c>
      <c r="D27" s="65">
        <v>0.33372135146903037</v>
      </c>
      <c r="E27" s="65">
        <v>1.2849672255798219</v>
      </c>
      <c r="F27" s="64">
        <v>0.27611726417921817</v>
      </c>
    </row>
    <row r="28" spans="1:6" ht="15.75" customHeight="1" x14ac:dyDescent="0.3">
      <c r="A28" s="20" t="s">
        <v>38</v>
      </c>
      <c r="B28" s="21" t="s">
        <v>68</v>
      </c>
      <c r="C28" s="64">
        <v>1.8937459433570742</v>
      </c>
      <c r="D28" s="65">
        <v>0.4047179974847559</v>
      </c>
      <c r="E28" s="65">
        <v>1.2195544759390089</v>
      </c>
      <c r="F28" s="64">
        <v>0.2694734699333094</v>
      </c>
    </row>
    <row r="29" spans="1:6" ht="15.75" customHeight="1" x14ac:dyDescent="0.3">
      <c r="A29" s="20" t="s">
        <v>38</v>
      </c>
      <c r="B29" s="21" t="s">
        <v>69</v>
      </c>
      <c r="C29" s="64">
        <v>1.1621873368805868</v>
      </c>
      <c r="D29" s="65">
        <v>0.51361656479993245</v>
      </c>
      <c r="E29" s="65">
        <v>0.37322421619218982</v>
      </c>
      <c r="F29" s="64">
        <v>0.27534655588846452</v>
      </c>
    </row>
    <row r="30" spans="1:6" ht="15.75" customHeight="1" x14ac:dyDescent="0.3">
      <c r="A30" s="20" t="s">
        <v>70</v>
      </c>
      <c r="B30" s="21" t="s">
        <v>71</v>
      </c>
      <c r="C30" s="64">
        <v>2.3113460419265692</v>
      </c>
      <c r="D30" s="65">
        <v>0.46207326647026414</v>
      </c>
      <c r="E30" s="65">
        <v>1.5907469375818428</v>
      </c>
      <c r="F30" s="64">
        <v>0.25852583787446232</v>
      </c>
    </row>
    <row r="31" spans="1:6" ht="15.75" customHeight="1" x14ac:dyDescent="0.3">
      <c r="A31" s="20" t="s">
        <v>70</v>
      </c>
      <c r="B31" s="21" t="s">
        <v>72</v>
      </c>
      <c r="C31" s="64">
        <v>2.6067104393279874</v>
      </c>
      <c r="D31" s="65">
        <v>0.97836536053884959</v>
      </c>
      <c r="E31" s="65">
        <v>1.3727423221430934</v>
      </c>
      <c r="F31" s="64">
        <v>0.25560275664604476</v>
      </c>
    </row>
    <row r="32" spans="1:6" ht="15.75" customHeight="1" x14ac:dyDescent="0.3">
      <c r="A32" s="20" t="s">
        <v>41</v>
      </c>
      <c r="B32" s="21" t="s">
        <v>73</v>
      </c>
      <c r="C32" s="64">
        <v>2.8267133213895912</v>
      </c>
      <c r="D32" s="65">
        <v>0.80811455195669468</v>
      </c>
      <c r="E32" s="65">
        <v>1.353571757002729</v>
      </c>
      <c r="F32" s="64">
        <v>0.66502701243016726</v>
      </c>
    </row>
    <row r="33" spans="1:6" ht="15.75" customHeight="1" x14ac:dyDescent="0.3">
      <c r="A33" s="20" t="s">
        <v>41</v>
      </c>
      <c r="B33" s="21" t="s">
        <v>42</v>
      </c>
      <c r="C33" s="64">
        <v>3.1848062458448032</v>
      </c>
      <c r="D33" s="65">
        <v>1.9740232930634001</v>
      </c>
      <c r="E33" s="65">
        <v>0.60989259698985299</v>
      </c>
      <c r="F33" s="64">
        <v>0.60089035579155026</v>
      </c>
    </row>
    <row r="34" spans="1:6" ht="15.75" customHeight="1" x14ac:dyDescent="0.3">
      <c r="A34" s="20" t="s">
        <v>41</v>
      </c>
      <c r="B34" s="21" t="s">
        <v>43</v>
      </c>
      <c r="C34" s="64">
        <v>3.5223899998850947</v>
      </c>
      <c r="D34" s="65">
        <v>0.84483932480698942</v>
      </c>
      <c r="E34" s="65">
        <v>2.0060979629374991</v>
      </c>
      <c r="F34" s="64">
        <v>0.67145271214060598</v>
      </c>
    </row>
    <row r="35" spans="1:6" ht="15.75" customHeight="1" x14ac:dyDescent="0.3">
      <c r="A35" s="20" t="s">
        <v>41</v>
      </c>
      <c r="B35" s="21" t="s">
        <v>44</v>
      </c>
      <c r="C35" s="64">
        <v>2.7027627928481079</v>
      </c>
      <c r="D35" s="65">
        <v>0.59243602922498906</v>
      </c>
      <c r="E35" s="65">
        <v>1.4388177279237728</v>
      </c>
      <c r="F35" s="64">
        <v>0.67150903569934595</v>
      </c>
    </row>
    <row r="36" spans="1:6" ht="15.75" customHeight="1" x14ac:dyDescent="0.3">
      <c r="A36" s="20" t="s">
        <v>41</v>
      </c>
      <c r="B36" s="21" t="s">
        <v>74</v>
      </c>
      <c r="C36" s="64">
        <v>2.8371995609497205</v>
      </c>
      <c r="D36" s="65">
        <v>0.77187774083316352</v>
      </c>
      <c r="E36" s="65">
        <v>1.3922741272125214</v>
      </c>
      <c r="F36" s="64">
        <v>0.67304769290403554</v>
      </c>
    </row>
    <row r="37" spans="1:6" ht="15.75" customHeight="1" x14ac:dyDescent="0.3">
      <c r="A37" s="20" t="s">
        <v>45</v>
      </c>
      <c r="B37" s="21" t="s">
        <v>75</v>
      </c>
      <c r="C37" s="64">
        <v>1.999020986291647</v>
      </c>
      <c r="D37" s="65">
        <v>0.22963630835566837</v>
      </c>
      <c r="E37" s="65">
        <v>1.3816525070894041</v>
      </c>
      <c r="F37" s="64">
        <v>0.38773217084657469</v>
      </c>
    </row>
    <row r="38" spans="1:6" ht="15.75" customHeight="1" x14ac:dyDescent="0.3">
      <c r="A38" s="20" t="s">
        <v>45</v>
      </c>
      <c r="B38" s="21" t="s">
        <v>46</v>
      </c>
      <c r="C38" s="64">
        <v>1.9296700631035302</v>
      </c>
      <c r="D38" s="65">
        <v>0.36608108250521071</v>
      </c>
      <c r="E38" s="65">
        <v>1.2570844654497146</v>
      </c>
      <c r="F38" s="64">
        <v>0.30650451514860466</v>
      </c>
    </row>
    <row r="39" spans="1:6" ht="15.75" customHeight="1" x14ac:dyDescent="0.3">
      <c r="A39" s="20" t="s">
        <v>45</v>
      </c>
      <c r="B39" s="21" t="s">
        <v>47</v>
      </c>
      <c r="C39" s="64">
        <v>3.0276779068459545</v>
      </c>
      <c r="D39" s="65">
        <v>0.99913870082370937</v>
      </c>
      <c r="E39" s="65">
        <v>1.6391994540416011</v>
      </c>
      <c r="F39" s="64">
        <v>0.38933975198064397</v>
      </c>
    </row>
    <row r="40" spans="1:6" ht="15.75" customHeight="1" x14ac:dyDescent="0.3">
      <c r="A40" s="20" t="s">
        <v>48</v>
      </c>
      <c r="B40" s="21" t="s">
        <v>49</v>
      </c>
      <c r="C40" s="64">
        <v>2.7910239323317105</v>
      </c>
      <c r="D40" s="65">
        <v>0.92657137000969703</v>
      </c>
      <c r="E40" s="65">
        <v>1.394820390324117</v>
      </c>
      <c r="F40" s="64">
        <v>0.46963217199789659</v>
      </c>
    </row>
    <row r="41" spans="1:6" ht="15.75" customHeight="1" x14ac:dyDescent="0.3">
      <c r="A41" s="20" t="s">
        <v>48</v>
      </c>
      <c r="B41" s="21" t="s">
        <v>50</v>
      </c>
      <c r="C41" s="64">
        <v>3.4021266932543237</v>
      </c>
      <c r="D41" s="65">
        <v>1.3339360287845938</v>
      </c>
      <c r="E41" s="65">
        <v>1.5515152084867951</v>
      </c>
      <c r="F41" s="64">
        <v>0.51667545598293485</v>
      </c>
    </row>
    <row r="42" spans="1:6" ht="15.75" customHeight="1" x14ac:dyDescent="0.3">
      <c r="A42" s="28" t="s">
        <v>76</v>
      </c>
      <c r="B42" s="29" t="s">
        <v>77</v>
      </c>
      <c r="C42" s="68">
        <v>2.0777467773209248</v>
      </c>
      <c r="D42" s="69">
        <v>0.28692218993633078</v>
      </c>
      <c r="E42" s="69">
        <v>1.1106476267171084</v>
      </c>
      <c r="F42" s="68">
        <v>0.68017696066748567</v>
      </c>
    </row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3:B3"/>
    <mergeCell ref="C3:F3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00"/>
  <sheetViews>
    <sheetView workbookViewId="0"/>
  </sheetViews>
  <sheetFormatPr defaultColWidth="14.42578125" defaultRowHeight="15" customHeight="1" x14ac:dyDescent="0.25"/>
  <cols>
    <col min="1" max="2" width="20.7109375" customWidth="1"/>
    <col min="3" max="7" width="15.7109375" customWidth="1"/>
    <col min="8" max="26" width="8.85546875" customWidth="1"/>
  </cols>
  <sheetData>
    <row r="1" spans="1:7" x14ac:dyDescent="0.25">
      <c r="A1" s="1" t="s">
        <v>135</v>
      </c>
    </row>
    <row r="3" spans="1:7" ht="31.5" customHeight="1" x14ac:dyDescent="0.25">
      <c r="A3" s="220" t="s">
        <v>98</v>
      </c>
      <c r="B3" s="209"/>
      <c r="C3" s="220" t="s">
        <v>136</v>
      </c>
      <c r="D3" s="221"/>
      <c r="E3" s="221"/>
      <c r="F3" s="209"/>
    </row>
    <row r="4" spans="1:7" ht="64.5" customHeight="1" x14ac:dyDescent="0.25">
      <c r="A4" s="11" t="s">
        <v>8</v>
      </c>
      <c r="B4" s="16" t="s">
        <v>9</v>
      </c>
      <c r="C4" s="63" t="s">
        <v>132</v>
      </c>
      <c r="D4" s="12" t="s">
        <v>133</v>
      </c>
      <c r="E4" s="12" t="s">
        <v>134</v>
      </c>
      <c r="F4" s="16" t="s">
        <v>8</v>
      </c>
    </row>
    <row r="5" spans="1:7" ht="16.5" x14ac:dyDescent="0.3">
      <c r="A5" s="20" t="s">
        <v>25</v>
      </c>
      <c r="B5" s="21" t="s">
        <v>26</v>
      </c>
      <c r="C5" s="70">
        <f t="shared" ref="C5:C42" si="0">D5+E5+F5</f>
        <v>0.99999999999999989</v>
      </c>
      <c r="D5" s="67">
        <v>0.62491491117945575</v>
      </c>
      <c r="E5" s="67">
        <v>0.26644796653647934</v>
      </c>
      <c r="F5" s="71">
        <v>0.10863712228406482</v>
      </c>
      <c r="G5" s="67"/>
    </row>
    <row r="6" spans="1:7" ht="16.5" x14ac:dyDescent="0.3">
      <c r="A6" s="20" t="s">
        <v>27</v>
      </c>
      <c r="B6" s="21" t="s">
        <v>54</v>
      </c>
      <c r="C6" s="72">
        <f t="shared" si="0"/>
        <v>1.0000000000000002</v>
      </c>
      <c r="D6" s="67">
        <v>0.20456476203953919</v>
      </c>
      <c r="E6" s="67">
        <v>0.7011127113570067</v>
      </c>
      <c r="F6" s="73">
        <v>9.4322526603454221E-2</v>
      </c>
    </row>
    <row r="7" spans="1:7" ht="16.5" x14ac:dyDescent="0.3">
      <c r="A7" s="20" t="s">
        <v>27</v>
      </c>
      <c r="B7" s="21" t="s">
        <v>28</v>
      </c>
      <c r="C7" s="72">
        <f t="shared" si="0"/>
        <v>0.99999999999999989</v>
      </c>
      <c r="D7" s="67">
        <v>0.30032317094862132</v>
      </c>
      <c r="E7" s="67">
        <v>0.61353757339495762</v>
      </c>
      <c r="F7" s="73">
        <v>8.6139255656421013E-2</v>
      </c>
    </row>
    <row r="8" spans="1:7" ht="16.5" x14ac:dyDescent="0.3">
      <c r="A8" s="20" t="s">
        <v>27</v>
      </c>
      <c r="B8" s="21" t="s">
        <v>55</v>
      </c>
      <c r="C8" s="72">
        <f t="shared" si="0"/>
        <v>1</v>
      </c>
      <c r="D8" s="67">
        <v>0.24245262560824435</v>
      </c>
      <c r="E8" s="67">
        <v>0.65736786855698848</v>
      </c>
      <c r="F8" s="73">
        <v>0.1001795058347672</v>
      </c>
    </row>
    <row r="9" spans="1:7" ht="16.5" x14ac:dyDescent="0.3">
      <c r="A9" s="20" t="s">
        <v>27</v>
      </c>
      <c r="B9" s="21" t="s">
        <v>56</v>
      </c>
      <c r="C9" s="72">
        <f t="shared" si="0"/>
        <v>0.99999999999999989</v>
      </c>
      <c r="D9" s="67">
        <v>0.30703076650828165</v>
      </c>
      <c r="E9" s="67">
        <v>0.59243860084444577</v>
      </c>
      <c r="F9" s="73">
        <v>0.10053063264727248</v>
      </c>
    </row>
    <row r="10" spans="1:7" ht="16.5" x14ac:dyDescent="0.3">
      <c r="A10" s="20" t="s">
        <v>57</v>
      </c>
      <c r="B10" s="21" t="s">
        <v>58</v>
      </c>
      <c r="C10" s="72">
        <f t="shared" si="0"/>
        <v>1</v>
      </c>
      <c r="D10" s="67">
        <v>0.16537328723245001</v>
      </c>
      <c r="E10" s="67">
        <v>0.66828829575022308</v>
      </c>
      <c r="F10" s="73">
        <v>0.16633841701732682</v>
      </c>
    </row>
    <row r="11" spans="1:7" ht="16.5" x14ac:dyDescent="0.3">
      <c r="A11" s="20" t="s">
        <v>57</v>
      </c>
      <c r="B11" s="21" t="s">
        <v>59</v>
      </c>
      <c r="C11" s="72">
        <f t="shared" si="0"/>
        <v>1.0000000000000002</v>
      </c>
      <c r="D11" s="67">
        <v>0.13390650725806125</v>
      </c>
      <c r="E11" s="67">
        <v>0.72911052864339665</v>
      </c>
      <c r="F11" s="73">
        <v>0.13698296409854221</v>
      </c>
    </row>
    <row r="12" spans="1:7" ht="16.5" x14ac:dyDescent="0.3">
      <c r="A12" s="20" t="s">
        <v>57</v>
      </c>
      <c r="B12" s="21" t="s">
        <v>60</v>
      </c>
      <c r="C12" s="72">
        <f t="shared" si="0"/>
        <v>1</v>
      </c>
      <c r="D12" s="67">
        <v>0.41823737695916541</v>
      </c>
      <c r="E12" s="67">
        <v>0.41706407898267955</v>
      </c>
      <c r="F12" s="73">
        <v>0.16469854405815496</v>
      </c>
    </row>
    <row r="13" spans="1:7" ht="16.5" x14ac:dyDescent="0.3">
      <c r="A13" s="20" t="s">
        <v>57</v>
      </c>
      <c r="B13" s="21" t="s">
        <v>61</v>
      </c>
      <c r="C13" s="72">
        <f t="shared" si="0"/>
        <v>1</v>
      </c>
      <c r="D13" s="67">
        <v>0.14620833195086463</v>
      </c>
      <c r="E13" s="67">
        <v>0.69030317192892099</v>
      </c>
      <c r="F13" s="73">
        <v>0.16348849612021438</v>
      </c>
    </row>
    <row r="14" spans="1:7" ht="16.5" x14ac:dyDescent="0.3">
      <c r="A14" s="20" t="s">
        <v>62</v>
      </c>
      <c r="B14" s="21" t="s">
        <v>63</v>
      </c>
      <c r="C14" s="72">
        <f t="shared" si="0"/>
        <v>1</v>
      </c>
      <c r="D14" s="67">
        <v>0.13690690210640979</v>
      </c>
      <c r="E14" s="67">
        <v>0.41466462348290628</v>
      </c>
      <c r="F14" s="73">
        <v>0.44842847441068401</v>
      </c>
    </row>
    <row r="15" spans="1:7" ht="16.5" x14ac:dyDescent="0.3">
      <c r="A15" s="20" t="s">
        <v>62</v>
      </c>
      <c r="B15" s="27" t="s">
        <v>64</v>
      </c>
      <c r="C15" s="72">
        <f t="shared" si="0"/>
        <v>1</v>
      </c>
      <c r="D15" s="67">
        <v>0.16857409282520949</v>
      </c>
      <c r="E15" s="67">
        <v>0.39591501810381646</v>
      </c>
      <c r="F15" s="73">
        <v>0.43551088907097402</v>
      </c>
    </row>
    <row r="16" spans="1:7" ht="16.5" x14ac:dyDescent="0.3">
      <c r="A16" s="20" t="s">
        <v>62</v>
      </c>
      <c r="B16" s="21" t="s">
        <v>65</v>
      </c>
      <c r="C16" s="72">
        <f t="shared" si="0"/>
        <v>1</v>
      </c>
      <c r="D16" s="67">
        <v>0.18404187043948084</v>
      </c>
      <c r="E16" s="67">
        <v>0.39474007919022447</v>
      </c>
      <c r="F16" s="73">
        <v>0.42121805037029464</v>
      </c>
    </row>
    <row r="17" spans="1:6" ht="16.5" x14ac:dyDescent="0.3">
      <c r="A17" s="20" t="s">
        <v>29</v>
      </c>
      <c r="B17" s="27" t="s">
        <v>64</v>
      </c>
      <c r="C17" s="72">
        <f t="shared" si="0"/>
        <v>1</v>
      </c>
      <c r="D17" s="67">
        <v>0.25645956766178968</v>
      </c>
      <c r="E17" s="67">
        <v>0.48428114442993797</v>
      </c>
      <c r="F17" s="73">
        <v>0.25925928790827241</v>
      </c>
    </row>
    <row r="18" spans="1:6" ht="16.5" x14ac:dyDescent="0.3">
      <c r="A18" s="20" t="s">
        <v>29</v>
      </c>
      <c r="B18" s="21" t="s">
        <v>30</v>
      </c>
      <c r="C18" s="72">
        <f t="shared" si="0"/>
        <v>1</v>
      </c>
      <c r="D18" s="67">
        <v>0.53767046160262899</v>
      </c>
      <c r="E18" s="67">
        <v>0.30739120640081863</v>
      </c>
      <c r="F18" s="73">
        <v>0.15493833199655235</v>
      </c>
    </row>
    <row r="19" spans="1:6" ht="16.5" x14ac:dyDescent="0.3">
      <c r="A19" s="20" t="s">
        <v>66</v>
      </c>
      <c r="B19" s="21" t="s">
        <v>67</v>
      </c>
      <c r="C19" s="72">
        <f t="shared" si="0"/>
        <v>1</v>
      </c>
      <c r="D19" s="67">
        <v>0.12539433361698427</v>
      </c>
      <c r="E19" s="67">
        <v>0.7173741215080901</v>
      </c>
      <c r="F19" s="73">
        <v>0.15723154487492561</v>
      </c>
    </row>
    <row r="20" spans="1:6" ht="16.5" x14ac:dyDescent="0.3">
      <c r="A20" s="20" t="s">
        <v>31</v>
      </c>
      <c r="B20" s="21" t="s">
        <v>32</v>
      </c>
      <c r="C20" s="72">
        <f t="shared" si="0"/>
        <v>1</v>
      </c>
      <c r="D20" s="67">
        <v>0.20918216445587073</v>
      </c>
      <c r="E20" s="67">
        <v>0.65099932409938055</v>
      </c>
      <c r="F20" s="73">
        <v>0.13981851144474874</v>
      </c>
    </row>
    <row r="21" spans="1:6" ht="15.75" customHeight="1" x14ac:dyDescent="0.3">
      <c r="A21" s="20" t="s">
        <v>31</v>
      </c>
      <c r="B21" s="21" t="s">
        <v>33</v>
      </c>
      <c r="C21" s="72">
        <f t="shared" si="0"/>
        <v>1</v>
      </c>
      <c r="D21" s="67">
        <v>0.21343234629712141</v>
      </c>
      <c r="E21" s="67">
        <v>0.60092612614198715</v>
      </c>
      <c r="F21" s="73">
        <v>0.18564152756089147</v>
      </c>
    </row>
    <row r="22" spans="1:6" ht="15.75" customHeight="1" x14ac:dyDescent="0.3">
      <c r="A22" s="20" t="s">
        <v>31</v>
      </c>
      <c r="B22" s="21" t="s">
        <v>34</v>
      </c>
      <c r="C22" s="72">
        <f t="shared" si="0"/>
        <v>1</v>
      </c>
      <c r="D22" s="67">
        <v>0.29989933969048788</v>
      </c>
      <c r="E22" s="67">
        <v>0.57021821352770274</v>
      </c>
      <c r="F22" s="73">
        <v>0.12988244678180941</v>
      </c>
    </row>
    <row r="23" spans="1:6" ht="15.75" customHeight="1" x14ac:dyDescent="0.3">
      <c r="A23" s="20" t="s">
        <v>31</v>
      </c>
      <c r="B23" s="21" t="s">
        <v>35</v>
      </c>
      <c r="C23" s="72">
        <f t="shared" si="0"/>
        <v>0.99999999999999978</v>
      </c>
      <c r="D23" s="67">
        <v>0.28852992766306834</v>
      </c>
      <c r="E23" s="67">
        <v>0.5523523110576295</v>
      </c>
      <c r="F23" s="73">
        <v>0.15911776127930205</v>
      </c>
    </row>
    <row r="24" spans="1:6" ht="15.75" customHeight="1" x14ac:dyDescent="0.3">
      <c r="A24" s="20" t="s">
        <v>31</v>
      </c>
      <c r="B24" s="21" t="s">
        <v>36</v>
      </c>
      <c r="C24" s="72">
        <f t="shared" si="0"/>
        <v>1.0000000000000002</v>
      </c>
      <c r="D24" s="67">
        <v>0.31106995799577786</v>
      </c>
      <c r="E24" s="67">
        <v>0.52517848194603378</v>
      </c>
      <c r="F24" s="73">
        <v>0.1637515600581885</v>
      </c>
    </row>
    <row r="25" spans="1:6" ht="15.75" customHeight="1" x14ac:dyDescent="0.3">
      <c r="A25" s="20" t="s">
        <v>31</v>
      </c>
      <c r="B25" s="21" t="s">
        <v>37</v>
      </c>
      <c r="C25" s="72">
        <f t="shared" si="0"/>
        <v>1</v>
      </c>
      <c r="D25" s="67">
        <v>0.30545694182290162</v>
      </c>
      <c r="E25" s="67">
        <v>0.55892102773544161</v>
      </c>
      <c r="F25" s="73">
        <v>0.13562203044165672</v>
      </c>
    </row>
    <row r="26" spans="1:6" ht="15.75" customHeight="1" x14ac:dyDescent="0.3">
      <c r="A26" s="20" t="s">
        <v>38</v>
      </c>
      <c r="B26" s="21" t="s">
        <v>39</v>
      </c>
      <c r="C26" s="72">
        <f t="shared" si="0"/>
        <v>1</v>
      </c>
      <c r="D26" s="67">
        <v>0.63242635614485077</v>
      </c>
      <c r="E26" s="67">
        <v>0.27795599659311132</v>
      </c>
      <c r="F26" s="73">
        <v>8.9617647262038011E-2</v>
      </c>
    </row>
    <row r="27" spans="1:6" ht="15.75" customHeight="1" x14ac:dyDescent="0.3">
      <c r="A27" s="20" t="s">
        <v>38</v>
      </c>
      <c r="B27" s="21" t="s">
        <v>40</v>
      </c>
      <c r="C27" s="72">
        <f t="shared" si="0"/>
        <v>0.99999999999999978</v>
      </c>
      <c r="D27" s="67">
        <v>0.17612429949695388</v>
      </c>
      <c r="E27" s="67">
        <v>0.67815245109599342</v>
      </c>
      <c r="F27" s="73">
        <v>0.14572324940705256</v>
      </c>
    </row>
    <row r="28" spans="1:6" ht="15.75" customHeight="1" x14ac:dyDescent="0.3">
      <c r="A28" s="20" t="s">
        <v>38</v>
      </c>
      <c r="B28" s="21" t="s">
        <v>68</v>
      </c>
      <c r="C28" s="72">
        <f t="shared" si="0"/>
        <v>1</v>
      </c>
      <c r="D28" s="67">
        <v>0.21371293171844674</v>
      </c>
      <c r="E28" s="67">
        <v>0.64399054171811709</v>
      </c>
      <c r="F28" s="73">
        <v>0.14229652656343617</v>
      </c>
    </row>
    <row r="29" spans="1:6" ht="15.75" customHeight="1" x14ac:dyDescent="0.3">
      <c r="A29" s="20" t="s">
        <v>38</v>
      </c>
      <c r="B29" s="21" t="s">
        <v>69</v>
      </c>
      <c r="C29" s="72">
        <f t="shared" si="0"/>
        <v>0.99999999999999989</v>
      </c>
      <c r="D29" s="67">
        <v>0.44193956387317429</v>
      </c>
      <c r="E29" s="67">
        <v>0.32113946207154215</v>
      </c>
      <c r="F29" s="73">
        <v>0.23692097405528348</v>
      </c>
    </row>
    <row r="30" spans="1:6" ht="15.75" customHeight="1" x14ac:dyDescent="0.3">
      <c r="A30" s="20" t="s">
        <v>70</v>
      </c>
      <c r="B30" s="21" t="s">
        <v>71</v>
      </c>
      <c r="C30" s="72">
        <f t="shared" si="0"/>
        <v>1</v>
      </c>
      <c r="D30" s="67">
        <v>0.19991522605810838</v>
      </c>
      <c r="E30" s="67">
        <v>0.68823400249315869</v>
      </c>
      <c r="F30" s="73">
        <v>0.111850771448733</v>
      </c>
    </row>
    <row r="31" spans="1:6" ht="15.75" customHeight="1" x14ac:dyDescent="0.3">
      <c r="A31" s="20" t="s">
        <v>70</v>
      </c>
      <c r="B31" s="21" t="s">
        <v>72</v>
      </c>
      <c r="C31" s="72">
        <f t="shared" si="0"/>
        <v>1.0000000000000002</v>
      </c>
      <c r="D31" s="67">
        <v>0.37532567705950232</v>
      </c>
      <c r="E31" s="67">
        <v>0.52661864602690112</v>
      </c>
      <c r="F31" s="73">
        <v>9.8055676913596665E-2</v>
      </c>
    </row>
    <row r="32" spans="1:6" ht="15.75" customHeight="1" x14ac:dyDescent="0.3">
      <c r="A32" s="20" t="s">
        <v>41</v>
      </c>
      <c r="B32" s="21" t="s">
        <v>73</v>
      </c>
      <c r="C32" s="72">
        <f t="shared" si="0"/>
        <v>0.99999999999999989</v>
      </c>
      <c r="D32" s="67">
        <v>0.28588486347084946</v>
      </c>
      <c r="E32" s="67">
        <v>0.47885002938229448</v>
      </c>
      <c r="F32" s="73">
        <v>0.23526510714685597</v>
      </c>
    </row>
    <row r="33" spans="1:6" ht="15.75" customHeight="1" x14ac:dyDescent="0.3">
      <c r="A33" s="20" t="s">
        <v>41</v>
      </c>
      <c r="B33" s="21" t="s">
        <v>42</v>
      </c>
      <c r="C33" s="72">
        <f t="shared" si="0"/>
        <v>1</v>
      </c>
      <c r="D33" s="67">
        <v>0.61982523917707577</v>
      </c>
      <c r="E33" s="67">
        <v>0.19150069106576767</v>
      </c>
      <c r="F33" s="73">
        <v>0.18867406975715653</v>
      </c>
    </row>
    <row r="34" spans="1:6" ht="15.75" customHeight="1" x14ac:dyDescent="0.3">
      <c r="A34" s="20" t="s">
        <v>41</v>
      </c>
      <c r="B34" s="21" t="s">
        <v>43</v>
      </c>
      <c r="C34" s="72">
        <f t="shared" si="0"/>
        <v>1</v>
      </c>
      <c r="D34" s="67">
        <v>0.23984832026963207</v>
      </c>
      <c r="E34" s="67">
        <v>0.56952749780772172</v>
      </c>
      <c r="F34" s="73">
        <v>0.19062418192264619</v>
      </c>
    </row>
    <row r="35" spans="1:6" ht="15.75" customHeight="1" x14ac:dyDescent="0.3">
      <c r="A35" s="20" t="s">
        <v>41</v>
      </c>
      <c r="B35" s="21" t="s">
        <v>44</v>
      </c>
      <c r="C35" s="72">
        <f t="shared" si="0"/>
        <v>0.99999999999999989</v>
      </c>
      <c r="D35" s="67">
        <v>0.21919645734085819</v>
      </c>
      <c r="E35" s="67">
        <v>0.53235072338981715</v>
      </c>
      <c r="F35" s="73">
        <v>0.24845281926932458</v>
      </c>
    </row>
    <row r="36" spans="1:6" ht="15.75" customHeight="1" x14ac:dyDescent="0.3">
      <c r="A36" s="20" t="s">
        <v>41</v>
      </c>
      <c r="B36" s="21" t="s">
        <v>74</v>
      </c>
      <c r="C36" s="72">
        <f t="shared" si="0"/>
        <v>0.99999999999999989</v>
      </c>
      <c r="D36" s="67">
        <v>0.27205620339754533</v>
      </c>
      <c r="E36" s="67">
        <v>0.49072125428726393</v>
      </c>
      <c r="F36" s="73">
        <v>0.23722254231519069</v>
      </c>
    </row>
    <row r="37" spans="1:6" ht="15.75" customHeight="1" x14ac:dyDescent="0.3">
      <c r="A37" s="20" t="s">
        <v>45</v>
      </c>
      <c r="B37" s="21" t="s">
        <v>75</v>
      </c>
      <c r="C37" s="72">
        <f t="shared" si="0"/>
        <v>1</v>
      </c>
      <c r="D37" s="67">
        <v>0.11487438597713931</v>
      </c>
      <c r="E37" s="67">
        <v>0.69116458334561381</v>
      </c>
      <c r="F37" s="73">
        <v>0.19396103067724699</v>
      </c>
    </row>
    <row r="38" spans="1:6" ht="15.75" customHeight="1" x14ac:dyDescent="0.3">
      <c r="A38" s="20" t="s">
        <v>45</v>
      </c>
      <c r="B38" s="21" t="s">
        <v>46</v>
      </c>
      <c r="C38" s="72">
        <f t="shared" si="0"/>
        <v>0.99999999999999989</v>
      </c>
      <c r="D38" s="67">
        <v>0.18971174891755049</v>
      </c>
      <c r="E38" s="67">
        <v>0.65145046787320648</v>
      </c>
      <c r="F38" s="73">
        <v>0.15883778320924294</v>
      </c>
    </row>
    <row r="39" spans="1:6" ht="15.75" customHeight="1" x14ac:dyDescent="0.3">
      <c r="A39" s="20" t="s">
        <v>45</v>
      </c>
      <c r="B39" s="21" t="s">
        <v>47</v>
      </c>
      <c r="C39" s="72">
        <f t="shared" si="0"/>
        <v>1</v>
      </c>
      <c r="D39" s="67">
        <v>0.3300016486445051</v>
      </c>
      <c r="E39" s="67">
        <v>0.54140483382831717</v>
      </c>
      <c r="F39" s="73">
        <v>0.12859351752717771</v>
      </c>
    </row>
    <row r="40" spans="1:6" ht="15.75" customHeight="1" x14ac:dyDescent="0.3">
      <c r="A40" s="20" t="s">
        <v>48</v>
      </c>
      <c r="B40" s="21" t="s">
        <v>49</v>
      </c>
      <c r="C40" s="72">
        <f t="shared" si="0"/>
        <v>1</v>
      </c>
      <c r="D40" s="67">
        <v>0.33198259580512079</v>
      </c>
      <c r="E40" s="67">
        <v>0.49975221429177769</v>
      </c>
      <c r="F40" s="73">
        <v>0.16826518990310158</v>
      </c>
    </row>
    <row r="41" spans="1:6" ht="15.75" customHeight="1" x14ac:dyDescent="0.3">
      <c r="A41" s="20" t="s">
        <v>48</v>
      </c>
      <c r="B41" s="21" t="s">
        <v>50</v>
      </c>
      <c r="C41" s="72">
        <f t="shared" si="0"/>
        <v>1</v>
      </c>
      <c r="D41" s="67">
        <v>0.39208887529952913</v>
      </c>
      <c r="E41" s="67">
        <v>0.45604274866162742</v>
      </c>
      <c r="F41" s="73">
        <v>0.15186837603884351</v>
      </c>
    </row>
    <row r="42" spans="1:6" ht="15.75" customHeight="1" x14ac:dyDescent="0.3">
      <c r="A42" s="28" t="s">
        <v>76</v>
      </c>
      <c r="B42" s="29" t="s">
        <v>77</v>
      </c>
      <c r="C42" s="74">
        <f t="shared" si="0"/>
        <v>0.99999999999999989</v>
      </c>
      <c r="D42" s="75">
        <v>0.13809295389994164</v>
      </c>
      <c r="E42" s="75">
        <v>0.53454426633701368</v>
      </c>
      <c r="F42" s="76">
        <v>0.32736277976304462</v>
      </c>
    </row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3:B3"/>
    <mergeCell ref="C3:F3"/>
  </mergeCell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0"/>
  <sheetViews>
    <sheetView workbookViewId="0"/>
  </sheetViews>
  <sheetFormatPr defaultColWidth="14.42578125" defaultRowHeight="15" customHeight="1" x14ac:dyDescent="0.25"/>
  <cols>
    <col min="1" max="2" width="20.7109375" customWidth="1"/>
    <col min="3" max="11" width="15.7109375" customWidth="1"/>
    <col min="12" max="26" width="8.85546875" customWidth="1"/>
  </cols>
  <sheetData>
    <row r="1" spans="1:11" x14ac:dyDescent="0.25">
      <c r="A1" s="1" t="s">
        <v>137</v>
      </c>
    </row>
    <row r="3" spans="1:11" ht="31.5" customHeight="1" x14ac:dyDescent="0.25">
      <c r="A3" s="220" t="s">
        <v>98</v>
      </c>
      <c r="B3" s="221"/>
      <c r="C3" s="220" t="s">
        <v>138</v>
      </c>
      <c r="D3" s="221"/>
      <c r="E3" s="221"/>
      <c r="F3" s="221"/>
      <c r="G3" s="221"/>
      <c r="H3" s="221"/>
      <c r="I3" s="235" t="s">
        <v>139</v>
      </c>
      <c r="J3" s="221"/>
      <c r="K3" s="209"/>
    </row>
    <row r="4" spans="1:11" ht="64.5" customHeight="1" x14ac:dyDescent="0.25">
      <c r="A4" s="11" t="s">
        <v>8</v>
      </c>
      <c r="B4" s="12" t="s">
        <v>9</v>
      </c>
      <c r="C4" s="11" t="s">
        <v>140</v>
      </c>
      <c r="D4" s="12" t="s">
        <v>141</v>
      </c>
      <c r="E4" s="12" t="s">
        <v>142</v>
      </c>
      <c r="F4" s="12" t="s">
        <v>143</v>
      </c>
      <c r="G4" s="12" t="s">
        <v>144</v>
      </c>
      <c r="H4" s="12" t="s">
        <v>145</v>
      </c>
      <c r="I4" s="11" t="s">
        <v>146</v>
      </c>
      <c r="J4" s="12" t="s">
        <v>147</v>
      </c>
      <c r="K4" s="10" t="s">
        <v>148</v>
      </c>
    </row>
    <row r="5" spans="1:11" ht="16.5" x14ac:dyDescent="0.3">
      <c r="A5" s="20" t="s">
        <v>25</v>
      </c>
      <c r="B5" s="21" t="s">
        <v>26</v>
      </c>
      <c r="C5" s="77">
        <v>23810385</v>
      </c>
      <c r="D5" s="22">
        <v>0</v>
      </c>
      <c r="E5" s="22">
        <v>0</v>
      </c>
      <c r="F5" s="22">
        <f t="shared" ref="F5:F42" si="0">SUM(C5:E5)</f>
        <v>23810385</v>
      </c>
      <c r="G5" s="22">
        <v>7912872</v>
      </c>
      <c r="H5" s="22">
        <v>31723257</v>
      </c>
      <c r="I5" s="41">
        <f t="shared" ref="I5:I42" si="1">F5/H5</f>
        <v>0.7505655866293931</v>
      </c>
      <c r="J5" s="67">
        <f t="shared" ref="J5:J42" si="2">G5/H5</f>
        <v>0.24943441337060693</v>
      </c>
      <c r="K5" s="73">
        <f t="shared" ref="K5:K42" si="3">I5+J5</f>
        <v>1</v>
      </c>
    </row>
    <row r="6" spans="1:11" ht="16.5" x14ac:dyDescent="0.3">
      <c r="A6" s="20" t="s">
        <v>27</v>
      </c>
      <c r="B6" s="21" t="s">
        <v>54</v>
      </c>
      <c r="C6" s="77">
        <v>9469343.6799999997</v>
      </c>
      <c r="D6" s="22">
        <v>0</v>
      </c>
      <c r="E6" s="22">
        <v>620937.36</v>
      </c>
      <c r="F6" s="22">
        <f t="shared" si="0"/>
        <v>10090281.039999999</v>
      </c>
      <c r="G6" s="22">
        <v>5169322.24</v>
      </c>
      <c r="H6" s="22">
        <v>15259603.279999999</v>
      </c>
      <c r="I6" s="41">
        <f t="shared" si="1"/>
        <v>0.6612413740286962</v>
      </c>
      <c r="J6" s="67">
        <f t="shared" si="2"/>
        <v>0.3387586259713038</v>
      </c>
      <c r="K6" s="73">
        <f t="shared" si="3"/>
        <v>1</v>
      </c>
    </row>
    <row r="7" spans="1:11" ht="16.5" x14ac:dyDescent="0.3">
      <c r="A7" s="20" t="s">
        <v>27</v>
      </c>
      <c r="B7" s="21" t="s">
        <v>28</v>
      </c>
      <c r="C7" s="77">
        <v>16514172.34</v>
      </c>
      <c r="D7" s="22">
        <v>79692</v>
      </c>
      <c r="E7" s="22">
        <v>658096</v>
      </c>
      <c r="F7" s="22">
        <f t="shared" si="0"/>
        <v>17251960.34</v>
      </c>
      <c r="G7" s="22">
        <v>5100236.51</v>
      </c>
      <c r="H7" s="22">
        <v>22352196.850000001</v>
      </c>
      <c r="I7" s="41">
        <f t="shared" si="1"/>
        <v>0.77182392655959442</v>
      </c>
      <c r="J7" s="67">
        <f t="shared" si="2"/>
        <v>0.22817607344040544</v>
      </c>
      <c r="K7" s="73">
        <f t="shared" si="3"/>
        <v>0.99999999999999989</v>
      </c>
    </row>
    <row r="8" spans="1:11" ht="16.5" x14ac:dyDescent="0.3">
      <c r="A8" s="20" t="s">
        <v>27</v>
      </c>
      <c r="B8" s="21" t="s">
        <v>55</v>
      </c>
      <c r="C8" s="77">
        <v>14718865.92</v>
      </c>
      <c r="D8" s="22">
        <v>217528.3</v>
      </c>
      <c r="E8" s="22">
        <v>876187</v>
      </c>
      <c r="F8" s="22">
        <f t="shared" si="0"/>
        <v>15812581.220000001</v>
      </c>
      <c r="G8" s="22">
        <v>4763460.96</v>
      </c>
      <c r="H8" s="22">
        <v>20576042.18</v>
      </c>
      <c r="I8" s="41">
        <f t="shared" si="1"/>
        <v>0.76849479028429946</v>
      </c>
      <c r="J8" s="67">
        <f t="shared" si="2"/>
        <v>0.23150520971570054</v>
      </c>
      <c r="K8" s="73">
        <f t="shared" si="3"/>
        <v>1</v>
      </c>
    </row>
    <row r="9" spans="1:11" ht="16.5" x14ac:dyDescent="0.3">
      <c r="A9" s="20" t="s">
        <v>27</v>
      </c>
      <c r="B9" s="21" t="s">
        <v>56</v>
      </c>
      <c r="C9" s="77">
        <v>14986534</v>
      </c>
      <c r="D9" s="22">
        <v>0</v>
      </c>
      <c r="E9" s="22">
        <v>701207</v>
      </c>
      <c r="F9" s="22">
        <f t="shared" si="0"/>
        <v>15687741</v>
      </c>
      <c r="G9" s="22">
        <v>4219058</v>
      </c>
      <c r="H9" s="22">
        <v>19906799</v>
      </c>
      <c r="I9" s="41">
        <f t="shared" si="1"/>
        <v>0.78805944642330494</v>
      </c>
      <c r="J9" s="67">
        <f t="shared" si="2"/>
        <v>0.21194055357669508</v>
      </c>
      <c r="K9" s="73">
        <f t="shared" si="3"/>
        <v>1</v>
      </c>
    </row>
    <row r="10" spans="1:11" ht="16.5" x14ac:dyDescent="0.3">
      <c r="A10" s="20" t="s">
        <v>57</v>
      </c>
      <c r="B10" s="21" t="s">
        <v>58</v>
      </c>
      <c r="C10" s="77">
        <v>5380880.3300000001</v>
      </c>
      <c r="D10" s="22">
        <v>138119.59</v>
      </c>
      <c r="E10" s="22">
        <v>0</v>
      </c>
      <c r="F10" s="22">
        <f t="shared" si="0"/>
        <v>5518999.9199999999</v>
      </c>
      <c r="G10" s="22">
        <v>4013972.67</v>
      </c>
      <c r="H10" s="22">
        <v>9532972.5899999999</v>
      </c>
      <c r="I10" s="41">
        <f t="shared" si="1"/>
        <v>0.57893798265919483</v>
      </c>
      <c r="J10" s="67">
        <f t="shared" si="2"/>
        <v>0.42106201734080512</v>
      </c>
      <c r="K10" s="73">
        <f t="shared" si="3"/>
        <v>1</v>
      </c>
    </row>
    <row r="11" spans="1:11" ht="16.5" x14ac:dyDescent="0.3">
      <c r="A11" s="20" t="s">
        <v>57</v>
      </c>
      <c r="B11" s="21" t="s">
        <v>59</v>
      </c>
      <c r="C11" s="77">
        <v>12368040.74</v>
      </c>
      <c r="D11" s="22">
        <v>731157</v>
      </c>
      <c r="E11" s="22">
        <v>0</v>
      </c>
      <c r="F11" s="22">
        <f t="shared" si="0"/>
        <v>13099197.74</v>
      </c>
      <c r="G11" s="22">
        <v>8784208</v>
      </c>
      <c r="H11" s="22">
        <v>21883405.740000002</v>
      </c>
      <c r="I11" s="41">
        <f t="shared" si="1"/>
        <v>0.59859045231046382</v>
      </c>
      <c r="J11" s="67">
        <f t="shared" si="2"/>
        <v>0.40140954768953613</v>
      </c>
      <c r="K11" s="73">
        <f t="shared" si="3"/>
        <v>1</v>
      </c>
    </row>
    <row r="12" spans="1:11" ht="16.5" x14ac:dyDescent="0.3">
      <c r="A12" s="20" t="s">
        <v>57</v>
      </c>
      <c r="B12" s="21" t="s">
        <v>60</v>
      </c>
      <c r="C12" s="77">
        <v>15285484.98</v>
      </c>
      <c r="D12" s="22">
        <v>0</v>
      </c>
      <c r="E12" s="22">
        <v>0</v>
      </c>
      <c r="F12" s="22">
        <f t="shared" si="0"/>
        <v>15285484.98</v>
      </c>
      <c r="G12" s="22">
        <v>9754928.7699999996</v>
      </c>
      <c r="H12" s="22">
        <v>25040413.75</v>
      </c>
      <c r="I12" s="41">
        <f t="shared" si="1"/>
        <v>0.61043260437340019</v>
      </c>
      <c r="J12" s="67">
        <f t="shared" si="2"/>
        <v>0.38956739562659981</v>
      </c>
      <c r="K12" s="73">
        <f t="shared" si="3"/>
        <v>1</v>
      </c>
    </row>
    <row r="13" spans="1:11" ht="16.5" x14ac:dyDescent="0.3">
      <c r="A13" s="20" t="s">
        <v>57</v>
      </c>
      <c r="B13" s="21" t="s">
        <v>61</v>
      </c>
      <c r="C13" s="77">
        <v>4068389.8</v>
      </c>
      <c r="D13" s="22">
        <v>199157</v>
      </c>
      <c r="E13" s="22">
        <v>0</v>
      </c>
      <c r="F13" s="22">
        <f t="shared" si="0"/>
        <v>4267546.8</v>
      </c>
      <c r="G13" s="22">
        <v>3081206</v>
      </c>
      <c r="H13" s="22">
        <v>7348752.7999999998</v>
      </c>
      <c r="I13" s="41">
        <f t="shared" si="1"/>
        <v>0.58071715243979904</v>
      </c>
      <c r="J13" s="67">
        <f t="shared" si="2"/>
        <v>0.41928284756020096</v>
      </c>
      <c r="K13" s="73">
        <f t="shared" si="3"/>
        <v>1</v>
      </c>
    </row>
    <row r="14" spans="1:11" ht="16.5" x14ac:dyDescent="0.3">
      <c r="A14" s="20" t="s">
        <v>62</v>
      </c>
      <c r="B14" s="21" t="s">
        <v>63</v>
      </c>
      <c r="C14" s="77">
        <v>502154.1</v>
      </c>
      <c r="D14" s="22">
        <v>0</v>
      </c>
      <c r="E14" s="22">
        <v>0</v>
      </c>
      <c r="F14" s="22">
        <f t="shared" si="0"/>
        <v>502154.1</v>
      </c>
      <c r="G14" s="22">
        <v>1295922</v>
      </c>
      <c r="H14" s="22">
        <v>1798076.1</v>
      </c>
      <c r="I14" s="41">
        <f t="shared" si="1"/>
        <v>0.27927299628753194</v>
      </c>
      <c r="J14" s="67">
        <f t="shared" si="2"/>
        <v>0.72072700371246801</v>
      </c>
      <c r="K14" s="73">
        <f t="shared" si="3"/>
        <v>1</v>
      </c>
    </row>
    <row r="15" spans="1:11" ht="16.5" x14ac:dyDescent="0.3">
      <c r="A15" s="20" t="s">
        <v>62</v>
      </c>
      <c r="B15" s="27" t="s">
        <v>64</v>
      </c>
      <c r="C15" s="77">
        <v>1369687.7</v>
      </c>
      <c r="D15" s="22">
        <v>0</v>
      </c>
      <c r="E15" s="22">
        <v>0</v>
      </c>
      <c r="F15" s="22">
        <f t="shared" si="0"/>
        <v>1369687.7</v>
      </c>
      <c r="G15" s="22">
        <v>2518167.1399999997</v>
      </c>
      <c r="H15" s="22">
        <v>3887854.84</v>
      </c>
      <c r="I15" s="41">
        <f t="shared" si="1"/>
        <v>0.35229908429400109</v>
      </c>
      <c r="J15" s="67">
        <f t="shared" si="2"/>
        <v>0.64770091570599886</v>
      </c>
      <c r="K15" s="73">
        <f t="shared" si="3"/>
        <v>1</v>
      </c>
    </row>
    <row r="16" spans="1:11" ht="16.5" x14ac:dyDescent="0.3">
      <c r="A16" s="20" t="s">
        <v>62</v>
      </c>
      <c r="B16" s="21" t="s">
        <v>65</v>
      </c>
      <c r="C16" s="77">
        <v>1227003.3700000001</v>
      </c>
      <c r="D16" s="22">
        <v>0</v>
      </c>
      <c r="E16" s="22">
        <v>0</v>
      </c>
      <c r="F16" s="22">
        <f t="shared" si="0"/>
        <v>1227003.3700000001</v>
      </c>
      <c r="G16" s="22">
        <v>1149975.08</v>
      </c>
      <c r="H16" s="22">
        <v>2376978.4500000002</v>
      </c>
      <c r="I16" s="41">
        <f t="shared" si="1"/>
        <v>0.51620298450749524</v>
      </c>
      <c r="J16" s="67">
        <f t="shared" si="2"/>
        <v>0.48379701549250476</v>
      </c>
      <c r="K16" s="73">
        <f t="shared" si="3"/>
        <v>1</v>
      </c>
    </row>
    <row r="17" spans="1:11" ht="16.5" x14ac:dyDescent="0.3">
      <c r="A17" s="20" t="s">
        <v>29</v>
      </c>
      <c r="B17" s="27" t="s">
        <v>64</v>
      </c>
      <c r="C17" s="77">
        <v>14455482.08</v>
      </c>
      <c r="D17" s="22">
        <v>320009</v>
      </c>
      <c r="E17" s="22">
        <v>1085731</v>
      </c>
      <c r="F17" s="22">
        <f t="shared" si="0"/>
        <v>15861222.08</v>
      </c>
      <c r="G17" s="22">
        <v>7624574.3799999999</v>
      </c>
      <c r="H17" s="22">
        <v>23485796.460000001</v>
      </c>
      <c r="I17" s="41">
        <f t="shared" si="1"/>
        <v>0.67535380829064717</v>
      </c>
      <c r="J17" s="67">
        <f t="shared" si="2"/>
        <v>0.32464619170935283</v>
      </c>
      <c r="K17" s="73">
        <f t="shared" si="3"/>
        <v>1</v>
      </c>
    </row>
    <row r="18" spans="1:11" ht="16.5" x14ac:dyDescent="0.3">
      <c r="A18" s="20" t="s">
        <v>29</v>
      </c>
      <c r="B18" s="21" t="s">
        <v>30</v>
      </c>
      <c r="C18" s="77">
        <v>243728100</v>
      </c>
      <c r="D18" s="22">
        <v>3704638</v>
      </c>
      <c r="E18" s="22">
        <v>4785266</v>
      </c>
      <c r="F18" s="22">
        <f t="shared" si="0"/>
        <v>252218004</v>
      </c>
      <c r="G18" s="22">
        <v>453068289.80000001</v>
      </c>
      <c r="H18" s="22">
        <v>705286293.79999995</v>
      </c>
      <c r="I18" s="41">
        <f t="shared" si="1"/>
        <v>0.35761081169049652</v>
      </c>
      <c r="J18" s="67">
        <f t="shared" si="2"/>
        <v>0.64238918830950353</v>
      </c>
      <c r="K18" s="73">
        <f t="shared" si="3"/>
        <v>1</v>
      </c>
    </row>
    <row r="19" spans="1:11" ht="16.5" x14ac:dyDescent="0.3">
      <c r="A19" s="20" t="s">
        <v>66</v>
      </c>
      <c r="B19" s="21" t="s">
        <v>67</v>
      </c>
      <c r="C19" s="77">
        <v>2696362.14</v>
      </c>
      <c r="D19" s="22">
        <v>93445</v>
      </c>
      <c r="E19" s="22">
        <v>0</v>
      </c>
      <c r="F19" s="22">
        <f t="shared" si="0"/>
        <v>2789807.14</v>
      </c>
      <c r="G19" s="22">
        <v>4255550</v>
      </c>
      <c r="H19" s="22">
        <v>7045357.1400000006</v>
      </c>
      <c r="I19" s="41">
        <f t="shared" si="1"/>
        <v>0.39597810083478607</v>
      </c>
      <c r="J19" s="67">
        <f t="shared" si="2"/>
        <v>0.60402189916521387</v>
      </c>
      <c r="K19" s="73">
        <f t="shared" si="3"/>
        <v>1</v>
      </c>
    </row>
    <row r="20" spans="1:11" ht="16.5" x14ac:dyDescent="0.3">
      <c r="A20" s="20" t="s">
        <v>31</v>
      </c>
      <c r="B20" s="21" t="s">
        <v>32</v>
      </c>
      <c r="C20" s="77">
        <v>41353618.200000003</v>
      </c>
      <c r="D20" s="22">
        <v>380311.69</v>
      </c>
      <c r="E20" s="22">
        <v>2535450</v>
      </c>
      <c r="F20" s="22">
        <f t="shared" si="0"/>
        <v>44269379.890000001</v>
      </c>
      <c r="G20" s="22">
        <v>30244115.149999999</v>
      </c>
      <c r="H20" s="22">
        <v>74513495.039999992</v>
      </c>
      <c r="I20" s="41">
        <f t="shared" si="1"/>
        <v>0.59411224592586231</v>
      </c>
      <c r="J20" s="67">
        <f t="shared" si="2"/>
        <v>0.40588775407413774</v>
      </c>
      <c r="K20" s="73">
        <f t="shared" si="3"/>
        <v>1</v>
      </c>
    </row>
    <row r="21" spans="1:11" ht="15.75" customHeight="1" x14ac:dyDescent="0.3">
      <c r="A21" s="20" t="s">
        <v>31</v>
      </c>
      <c r="B21" s="21" t="s">
        <v>33</v>
      </c>
      <c r="C21" s="77">
        <v>35064179.5</v>
      </c>
      <c r="D21" s="22">
        <v>0</v>
      </c>
      <c r="E21" s="22">
        <v>2788823</v>
      </c>
      <c r="F21" s="22">
        <f t="shared" si="0"/>
        <v>37853002.5</v>
      </c>
      <c r="G21" s="22">
        <v>21235232.5</v>
      </c>
      <c r="H21" s="22">
        <v>59088235</v>
      </c>
      <c r="I21" s="41">
        <f t="shared" si="1"/>
        <v>0.64061826351726359</v>
      </c>
      <c r="J21" s="67">
        <f t="shared" si="2"/>
        <v>0.35938173648273636</v>
      </c>
      <c r="K21" s="73">
        <f t="shared" si="3"/>
        <v>1</v>
      </c>
    </row>
    <row r="22" spans="1:11" ht="15.75" customHeight="1" x14ac:dyDescent="0.3">
      <c r="A22" s="20" t="s">
        <v>31</v>
      </c>
      <c r="B22" s="21" t="s">
        <v>34</v>
      </c>
      <c r="C22" s="77">
        <v>13391306.58</v>
      </c>
      <c r="D22" s="22">
        <v>0</v>
      </c>
      <c r="E22" s="22">
        <v>513606</v>
      </c>
      <c r="F22" s="22">
        <f t="shared" si="0"/>
        <v>13904912.58</v>
      </c>
      <c r="G22" s="22">
        <v>7020259.0099999998</v>
      </c>
      <c r="H22" s="22">
        <v>20925171.59</v>
      </c>
      <c r="I22" s="41">
        <f t="shared" si="1"/>
        <v>0.66450650214237983</v>
      </c>
      <c r="J22" s="67">
        <f t="shared" si="2"/>
        <v>0.33549349785762017</v>
      </c>
      <c r="K22" s="73">
        <f t="shared" si="3"/>
        <v>1</v>
      </c>
    </row>
    <row r="23" spans="1:11" ht="15.75" customHeight="1" x14ac:dyDescent="0.3">
      <c r="A23" s="20" t="s">
        <v>31</v>
      </c>
      <c r="B23" s="21" t="s">
        <v>35</v>
      </c>
      <c r="C23" s="77">
        <v>33375265.949999999</v>
      </c>
      <c r="D23" s="22">
        <v>460396.92</v>
      </c>
      <c r="E23" s="22">
        <v>1662794.79</v>
      </c>
      <c r="F23" s="22">
        <f t="shared" si="0"/>
        <v>35498457.659999996</v>
      </c>
      <c r="G23" s="22">
        <v>27689365.829999998</v>
      </c>
      <c r="H23" s="22">
        <v>63187823.489999995</v>
      </c>
      <c r="I23" s="41">
        <f t="shared" si="1"/>
        <v>0.56179269516409169</v>
      </c>
      <c r="J23" s="67">
        <f t="shared" si="2"/>
        <v>0.43820730483590836</v>
      </c>
      <c r="K23" s="73">
        <f t="shared" si="3"/>
        <v>1</v>
      </c>
    </row>
    <row r="24" spans="1:11" ht="15.75" customHeight="1" x14ac:dyDescent="0.3">
      <c r="A24" s="20" t="s">
        <v>31</v>
      </c>
      <c r="B24" s="21" t="s">
        <v>36</v>
      </c>
      <c r="C24" s="77">
        <v>10268266</v>
      </c>
      <c r="D24" s="22">
        <v>0</v>
      </c>
      <c r="E24" s="22">
        <v>480181</v>
      </c>
      <c r="F24" s="22">
        <f t="shared" si="0"/>
        <v>10748447</v>
      </c>
      <c r="G24" s="22">
        <v>7915195.1799999997</v>
      </c>
      <c r="H24" s="22">
        <v>18663642.18</v>
      </c>
      <c r="I24" s="41">
        <f t="shared" si="1"/>
        <v>0.57590297201036456</v>
      </c>
      <c r="J24" s="67">
        <f t="shared" si="2"/>
        <v>0.42409702798963539</v>
      </c>
      <c r="K24" s="73">
        <f t="shared" si="3"/>
        <v>1</v>
      </c>
    </row>
    <row r="25" spans="1:11" ht="15.75" customHeight="1" x14ac:dyDescent="0.3">
      <c r="A25" s="20" t="s">
        <v>31</v>
      </c>
      <c r="B25" s="21" t="s">
        <v>37</v>
      </c>
      <c r="C25" s="77">
        <v>100219589</v>
      </c>
      <c r="D25" s="22">
        <v>0</v>
      </c>
      <c r="E25" s="22">
        <v>3920058.23</v>
      </c>
      <c r="F25" s="22">
        <f t="shared" si="0"/>
        <v>104139647.23</v>
      </c>
      <c r="G25" s="22">
        <v>76053546.039999992</v>
      </c>
      <c r="H25" s="22">
        <v>180193193.26999998</v>
      </c>
      <c r="I25" s="41">
        <f t="shared" si="1"/>
        <v>0.57793330225275508</v>
      </c>
      <c r="J25" s="67">
        <f t="shared" si="2"/>
        <v>0.42206669774724503</v>
      </c>
      <c r="K25" s="73">
        <f t="shared" si="3"/>
        <v>1</v>
      </c>
    </row>
    <row r="26" spans="1:11" ht="15.75" customHeight="1" x14ac:dyDescent="0.3">
      <c r="A26" s="20" t="s">
        <v>38</v>
      </c>
      <c r="B26" s="21" t="s">
        <v>39</v>
      </c>
      <c r="C26" s="77">
        <v>12047538.390000001</v>
      </c>
      <c r="D26" s="22">
        <v>0</v>
      </c>
      <c r="E26" s="22">
        <v>0</v>
      </c>
      <c r="F26" s="22">
        <f t="shared" si="0"/>
        <v>12047538.390000001</v>
      </c>
      <c r="G26" s="22">
        <v>6808300.46</v>
      </c>
      <c r="H26" s="22">
        <v>18855838.850000001</v>
      </c>
      <c r="I26" s="41">
        <f t="shared" si="1"/>
        <v>0.63892879472715691</v>
      </c>
      <c r="J26" s="67">
        <f t="shared" si="2"/>
        <v>0.36107120527284309</v>
      </c>
      <c r="K26" s="73">
        <f t="shared" si="3"/>
        <v>1</v>
      </c>
    </row>
    <row r="27" spans="1:11" ht="15.75" customHeight="1" x14ac:dyDescent="0.3">
      <c r="A27" s="20" t="s">
        <v>38</v>
      </c>
      <c r="B27" s="21" t="s">
        <v>40</v>
      </c>
      <c r="C27" s="77">
        <v>23542539.190000001</v>
      </c>
      <c r="D27" s="22">
        <v>1411610.1</v>
      </c>
      <c r="E27" s="22">
        <v>0</v>
      </c>
      <c r="F27" s="22">
        <f t="shared" si="0"/>
        <v>24954149.290000003</v>
      </c>
      <c r="G27" s="22">
        <v>11370626.960000001</v>
      </c>
      <c r="H27" s="22">
        <v>36324776.25</v>
      </c>
      <c r="I27" s="41">
        <f t="shared" si="1"/>
        <v>0.68697324157640205</v>
      </c>
      <c r="J27" s="67">
        <f t="shared" si="2"/>
        <v>0.31302675842359801</v>
      </c>
      <c r="K27" s="73">
        <f t="shared" si="3"/>
        <v>1</v>
      </c>
    </row>
    <row r="28" spans="1:11" ht="15.75" customHeight="1" x14ac:dyDescent="0.3">
      <c r="A28" s="20" t="s">
        <v>38</v>
      </c>
      <c r="B28" s="21" t="s">
        <v>68</v>
      </c>
      <c r="C28" s="77">
        <v>22304536.850000001</v>
      </c>
      <c r="D28" s="22">
        <v>551871.23</v>
      </c>
      <c r="E28" s="22">
        <v>0</v>
      </c>
      <c r="F28" s="22">
        <f t="shared" si="0"/>
        <v>22856408.080000002</v>
      </c>
      <c r="G28" s="22">
        <v>16450542.789999999</v>
      </c>
      <c r="H28" s="22">
        <v>39306950.870000005</v>
      </c>
      <c r="I28" s="41">
        <f t="shared" si="1"/>
        <v>0.58148514636999116</v>
      </c>
      <c r="J28" s="67">
        <f t="shared" si="2"/>
        <v>0.41851485363000879</v>
      </c>
      <c r="K28" s="73">
        <f t="shared" si="3"/>
        <v>1</v>
      </c>
    </row>
    <row r="29" spans="1:11" ht="15.75" customHeight="1" x14ac:dyDescent="0.3">
      <c r="A29" s="20" t="s">
        <v>38</v>
      </c>
      <c r="B29" s="21" t="s">
        <v>69</v>
      </c>
      <c r="C29" s="77">
        <v>4660000</v>
      </c>
      <c r="D29" s="22">
        <v>0</v>
      </c>
      <c r="E29" s="22">
        <v>0</v>
      </c>
      <c r="F29" s="22">
        <f t="shared" si="0"/>
        <v>4660000</v>
      </c>
      <c r="G29" s="22">
        <v>1550990.37</v>
      </c>
      <c r="H29" s="22">
        <v>6210990.3700000001</v>
      </c>
      <c r="I29" s="41">
        <f t="shared" si="1"/>
        <v>0.75028292146587239</v>
      </c>
      <c r="J29" s="67">
        <f t="shared" si="2"/>
        <v>0.24971707853412758</v>
      </c>
      <c r="K29" s="73">
        <f t="shared" si="3"/>
        <v>1</v>
      </c>
    </row>
    <row r="30" spans="1:11" ht="15.75" customHeight="1" x14ac:dyDescent="0.3">
      <c r="A30" s="20" t="s">
        <v>70</v>
      </c>
      <c r="B30" s="21" t="s">
        <v>71</v>
      </c>
      <c r="C30" s="77">
        <v>13602602.1</v>
      </c>
      <c r="D30" s="22">
        <v>770532.48</v>
      </c>
      <c r="E30" s="22">
        <v>1100244.72</v>
      </c>
      <c r="F30" s="22">
        <f t="shared" si="0"/>
        <v>15473379.300000001</v>
      </c>
      <c r="G30" s="22">
        <v>14123166</v>
      </c>
      <c r="H30" s="22">
        <v>29596545.300000001</v>
      </c>
      <c r="I30" s="41">
        <f t="shared" si="1"/>
        <v>0.52281031935169808</v>
      </c>
      <c r="J30" s="67">
        <f t="shared" si="2"/>
        <v>0.47718968064830186</v>
      </c>
      <c r="K30" s="73">
        <f t="shared" si="3"/>
        <v>1</v>
      </c>
    </row>
    <row r="31" spans="1:11" ht="15.75" customHeight="1" x14ac:dyDescent="0.3">
      <c r="A31" s="20" t="s">
        <v>70</v>
      </c>
      <c r="B31" s="21" t="s">
        <v>72</v>
      </c>
      <c r="C31" s="77">
        <v>13757455.5</v>
      </c>
      <c r="D31" s="22">
        <v>135645</v>
      </c>
      <c r="E31" s="22">
        <v>478826</v>
      </c>
      <c r="F31" s="22">
        <f t="shared" si="0"/>
        <v>14371926.5</v>
      </c>
      <c r="G31" s="22">
        <v>11146872.359999999</v>
      </c>
      <c r="H31" s="22">
        <v>25518798.859999999</v>
      </c>
      <c r="I31" s="41">
        <f t="shared" si="1"/>
        <v>0.56318977154240557</v>
      </c>
      <c r="J31" s="67">
        <f t="shared" si="2"/>
        <v>0.43681022845759443</v>
      </c>
      <c r="K31" s="73">
        <f t="shared" si="3"/>
        <v>1</v>
      </c>
    </row>
    <row r="32" spans="1:11" ht="15.75" customHeight="1" x14ac:dyDescent="0.3">
      <c r="A32" s="20" t="s">
        <v>41</v>
      </c>
      <c r="B32" s="21" t="s">
        <v>73</v>
      </c>
      <c r="C32" s="77">
        <v>13095608.970000001</v>
      </c>
      <c r="D32" s="22">
        <v>75423</v>
      </c>
      <c r="E32" s="22">
        <v>554938</v>
      </c>
      <c r="F32" s="22">
        <f t="shared" si="0"/>
        <v>13725969.970000001</v>
      </c>
      <c r="G32" s="22">
        <v>6596448.9299999997</v>
      </c>
      <c r="H32" s="22">
        <v>20322418.899999999</v>
      </c>
      <c r="I32" s="41">
        <f t="shared" si="1"/>
        <v>0.67541024705479336</v>
      </c>
      <c r="J32" s="67">
        <f t="shared" si="2"/>
        <v>0.32458975294520676</v>
      </c>
      <c r="K32" s="73">
        <f t="shared" si="3"/>
        <v>1</v>
      </c>
    </row>
    <row r="33" spans="1:11" ht="15.75" customHeight="1" x14ac:dyDescent="0.3">
      <c r="A33" s="20" t="s">
        <v>41</v>
      </c>
      <c r="B33" s="21" t="s">
        <v>42</v>
      </c>
      <c r="C33" s="77">
        <v>162498620.69999999</v>
      </c>
      <c r="D33" s="22">
        <v>0</v>
      </c>
      <c r="E33" s="22">
        <v>2475868</v>
      </c>
      <c r="F33" s="22">
        <f t="shared" si="0"/>
        <v>164974488.69999999</v>
      </c>
      <c r="G33" s="22">
        <v>50893273</v>
      </c>
      <c r="H33" s="22">
        <v>215867761.69999999</v>
      </c>
      <c r="I33" s="41">
        <f t="shared" si="1"/>
        <v>0.76423865889373321</v>
      </c>
      <c r="J33" s="67">
        <f t="shared" si="2"/>
        <v>0.23576134110626673</v>
      </c>
      <c r="K33" s="73">
        <f t="shared" si="3"/>
        <v>1</v>
      </c>
    </row>
    <row r="34" spans="1:11" ht="15.75" customHeight="1" x14ac:dyDescent="0.3">
      <c r="A34" s="20" t="s">
        <v>41</v>
      </c>
      <c r="B34" s="21" t="s">
        <v>43</v>
      </c>
      <c r="C34" s="77">
        <v>10255329.5</v>
      </c>
      <c r="D34" s="22">
        <v>119847</v>
      </c>
      <c r="E34" s="22">
        <v>422639.5</v>
      </c>
      <c r="F34" s="22">
        <f t="shared" si="0"/>
        <v>10797816</v>
      </c>
      <c r="G34" s="22">
        <v>3702326.59</v>
      </c>
      <c r="H34" s="22">
        <v>14500142.59</v>
      </c>
      <c r="I34" s="41">
        <f t="shared" si="1"/>
        <v>0.74466964259004575</v>
      </c>
      <c r="J34" s="67">
        <f t="shared" si="2"/>
        <v>0.25533035740995425</v>
      </c>
      <c r="K34" s="73">
        <f t="shared" si="3"/>
        <v>1</v>
      </c>
    </row>
    <row r="35" spans="1:11" ht="15.75" customHeight="1" x14ac:dyDescent="0.3">
      <c r="A35" s="20" t="s">
        <v>41</v>
      </c>
      <c r="B35" s="21" t="s">
        <v>44</v>
      </c>
      <c r="C35" s="77">
        <v>59860951</v>
      </c>
      <c r="D35" s="22">
        <v>1047455</v>
      </c>
      <c r="E35" s="22">
        <v>3638123</v>
      </c>
      <c r="F35" s="22">
        <f t="shared" si="0"/>
        <v>64546529</v>
      </c>
      <c r="G35" s="22">
        <v>21100150</v>
      </c>
      <c r="H35" s="22">
        <v>85646679</v>
      </c>
      <c r="I35" s="41">
        <f t="shared" si="1"/>
        <v>0.75363726595867186</v>
      </c>
      <c r="J35" s="67">
        <f t="shared" si="2"/>
        <v>0.24636273404132811</v>
      </c>
      <c r="K35" s="73">
        <f t="shared" si="3"/>
        <v>1</v>
      </c>
    </row>
    <row r="36" spans="1:11" ht="15.75" customHeight="1" x14ac:dyDescent="0.3">
      <c r="A36" s="20" t="s">
        <v>41</v>
      </c>
      <c r="B36" s="21" t="s">
        <v>74</v>
      </c>
      <c r="C36" s="77">
        <v>13788736</v>
      </c>
      <c r="D36" s="22">
        <v>168292</v>
      </c>
      <c r="E36" s="22">
        <v>628778</v>
      </c>
      <c r="F36" s="22">
        <f t="shared" si="0"/>
        <v>14585806</v>
      </c>
      <c r="G36" s="22">
        <v>4015513</v>
      </c>
      <c r="H36" s="22">
        <v>18601319</v>
      </c>
      <c r="I36" s="41">
        <f t="shared" si="1"/>
        <v>0.78412751267799885</v>
      </c>
      <c r="J36" s="67">
        <f t="shared" si="2"/>
        <v>0.21587248732200121</v>
      </c>
      <c r="K36" s="73">
        <f t="shared" si="3"/>
        <v>1</v>
      </c>
    </row>
    <row r="37" spans="1:11" ht="15.75" customHeight="1" x14ac:dyDescent="0.3">
      <c r="A37" s="20" t="s">
        <v>45</v>
      </c>
      <c r="B37" s="21" t="s">
        <v>75</v>
      </c>
      <c r="C37" s="77">
        <v>22005035.620000001</v>
      </c>
      <c r="D37" s="22">
        <v>0</v>
      </c>
      <c r="E37" s="22">
        <v>0</v>
      </c>
      <c r="F37" s="22">
        <f t="shared" si="0"/>
        <v>22005035.620000001</v>
      </c>
      <c r="G37" s="22">
        <v>21254825.170000002</v>
      </c>
      <c r="H37" s="22">
        <v>43259860.790000007</v>
      </c>
      <c r="I37" s="41">
        <f t="shared" si="1"/>
        <v>0.50867097623871016</v>
      </c>
      <c r="J37" s="67">
        <f t="shared" si="2"/>
        <v>0.49132902376128978</v>
      </c>
      <c r="K37" s="73">
        <f t="shared" si="3"/>
        <v>1</v>
      </c>
    </row>
    <row r="38" spans="1:11" ht="15.75" customHeight="1" x14ac:dyDescent="0.3">
      <c r="A38" s="20" t="s">
        <v>45</v>
      </c>
      <c r="B38" s="21" t="s">
        <v>46</v>
      </c>
      <c r="C38" s="77">
        <v>35136502</v>
      </c>
      <c r="D38" s="22">
        <v>5305699</v>
      </c>
      <c r="E38" s="22">
        <v>3561968</v>
      </c>
      <c r="F38" s="22">
        <f t="shared" si="0"/>
        <v>44004169</v>
      </c>
      <c r="G38" s="22">
        <v>24133725.189999998</v>
      </c>
      <c r="H38" s="22">
        <v>68137894.189999998</v>
      </c>
      <c r="I38" s="41">
        <f t="shared" si="1"/>
        <v>0.64581052178243137</v>
      </c>
      <c r="J38" s="67">
        <f t="shared" si="2"/>
        <v>0.35418947821756858</v>
      </c>
      <c r="K38" s="73">
        <f t="shared" si="3"/>
        <v>1</v>
      </c>
    </row>
    <row r="39" spans="1:11" ht="15.75" customHeight="1" x14ac:dyDescent="0.3">
      <c r="A39" s="20" t="s">
        <v>45</v>
      </c>
      <c r="B39" s="21" t="s">
        <v>47</v>
      </c>
      <c r="C39" s="77">
        <v>9542787.1500000004</v>
      </c>
      <c r="D39" s="22">
        <v>0</v>
      </c>
      <c r="E39" s="22">
        <v>0</v>
      </c>
      <c r="F39" s="22">
        <f t="shared" si="0"/>
        <v>9542787.1500000004</v>
      </c>
      <c r="G39" s="22">
        <v>4573700.76</v>
      </c>
      <c r="H39" s="22">
        <v>14116487.91</v>
      </c>
      <c r="I39" s="41">
        <f t="shared" si="1"/>
        <v>0.6760029272748479</v>
      </c>
      <c r="J39" s="67">
        <f t="shared" si="2"/>
        <v>0.32399707272515205</v>
      </c>
      <c r="K39" s="73">
        <f t="shared" si="3"/>
        <v>1</v>
      </c>
    </row>
    <row r="40" spans="1:11" ht="15.75" customHeight="1" x14ac:dyDescent="0.3">
      <c r="A40" s="20" t="s">
        <v>48</v>
      </c>
      <c r="B40" s="21" t="s">
        <v>49</v>
      </c>
      <c r="C40" s="77">
        <v>60496150.259999998</v>
      </c>
      <c r="D40" s="22">
        <v>0</v>
      </c>
      <c r="E40" s="22">
        <v>2090954.84</v>
      </c>
      <c r="F40" s="22">
        <f t="shared" si="0"/>
        <v>62587105.100000001</v>
      </c>
      <c r="G40" s="22">
        <v>47864229.590000004</v>
      </c>
      <c r="H40" s="22">
        <v>110451334.69</v>
      </c>
      <c r="I40" s="41">
        <f t="shared" si="1"/>
        <v>0.56664869895561787</v>
      </c>
      <c r="J40" s="67">
        <f t="shared" si="2"/>
        <v>0.43335130104438219</v>
      </c>
      <c r="K40" s="73">
        <f t="shared" si="3"/>
        <v>1</v>
      </c>
    </row>
    <row r="41" spans="1:11" ht="15.75" customHeight="1" x14ac:dyDescent="0.3">
      <c r="A41" s="20" t="s">
        <v>48</v>
      </c>
      <c r="B41" s="21" t="s">
        <v>50</v>
      </c>
      <c r="C41" s="77">
        <v>37995062</v>
      </c>
      <c r="D41" s="22">
        <v>0</v>
      </c>
      <c r="E41" s="22">
        <v>988596</v>
      </c>
      <c r="F41" s="22">
        <f t="shared" si="0"/>
        <v>38983658</v>
      </c>
      <c r="G41" s="22">
        <v>17756074</v>
      </c>
      <c r="H41" s="22">
        <v>56739732</v>
      </c>
      <c r="I41" s="41">
        <f t="shared" si="1"/>
        <v>0.68706101748947279</v>
      </c>
      <c r="J41" s="67">
        <f t="shared" si="2"/>
        <v>0.31293898251052721</v>
      </c>
      <c r="K41" s="73">
        <f t="shared" si="3"/>
        <v>1</v>
      </c>
    </row>
    <row r="42" spans="1:11" ht="15.75" customHeight="1" x14ac:dyDescent="0.3">
      <c r="A42" s="28" t="s">
        <v>76</v>
      </c>
      <c r="B42" s="29" t="s">
        <v>77</v>
      </c>
      <c r="C42" s="30">
        <v>1519682.31</v>
      </c>
      <c r="D42" s="31">
        <v>96359.97</v>
      </c>
      <c r="E42" s="31">
        <v>0</v>
      </c>
      <c r="F42" s="31">
        <f t="shared" si="0"/>
        <v>1616042.28</v>
      </c>
      <c r="G42" s="31">
        <v>1961395.29</v>
      </c>
      <c r="H42" s="31">
        <v>3577437.5700000003</v>
      </c>
      <c r="I42" s="45">
        <f t="shared" si="1"/>
        <v>0.45173179080802239</v>
      </c>
      <c r="J42" s="75">
        <f t="shared" si="2"/>
        <v>0.54826820919197761</v>
      </c>
      <c r="K42" s="76">
        <f t="shared" si="3"/>
        <v>1</v>
      </c>
    </row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B3"/>
    <mergeCell ref="C3:H3"/>
    <mergeCell ref="I3:K3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000"/>
  <sheetViews>
    <sheetView workbookViewId="0"/>
  </sheetViews>
  <sheetFormatPr defaultColWidth="14.42578125" defaultRowHeight="15" customHeight="1" x14ac:dyDescent="0.25"/>
  <cols>
    <col min="1" max="2" width="20.7109375" customWidth="1"/>
    <col min="3" max="17" width="15.7109375" customWidth="1"/>
    <col min="18" max="26" width="8.85546875" customWidth="1"/>
  </cols>
  <sheetData>
    <row r="1" spans="1:17" x14ac:dyDescent="0.25">
      <c r="A1" s="1" t="s">
        <v>149</v>
      </c>
    </row>
    <row r="2" spans="1:17" x14ac:dyDescent="0.25">
      <c r="C2" s="8"/>
      <c r="D2" s="8"/>
      <c r="E2" s="8"/>
    </row>
    <row r="3" spans="1:17" ht="31.5" customHeight="1" x14ac:dyDescent="0.25">
      <c r="A3" s="220" t="s">
        <v>98</v>
      </c>
      <c r="B3" s="209"/>
      <c r="C3" s="220" t="s">
        <v>150</v>
      </c>
      <c r="D3" s="221"/>
      <c r="E3" s="221"/>
      <c r="F3" s="221"/>
      <c r="G3" s="221"/>
      <c r="H3" s="221"/>
      <c r="I3" s="221"/>
      <c r="J3" s="221"/>
      <c r="K3" s="209"/>
      <c r="L3" s="220" t="s">
        <v>151</v>
      </c>
      <c r="M3" s="221"/>
      <c r="N3" s="221"/>
      <c r="O3" s="221"/>
      <c r="P3" s="221"/>
      <c r="Q3" s="209"/>
    </row>
    <row r="4" spans="1:17" ht="64.5" customHeight="1" x14ac:dyDescent="0.25">
      <c r="A4" s="11" t="s">
        <v>8</v>
      </c>
      <c r="B4" s="16" t="s">
        <v>9</v>
      </c>
      <c r="C4" s="11" t="s">
        <v>152</v>
      </c>
      <c r="D4" s="12" t="s">
        <v>153</v>
      </c>
      <c r="E4" s="12" t="s">
        <v>154</v>
      </c>
      <c r="F4" s="12" t="s">
        <v>140</v>
      </c>
      <c r="G4" s="12" t="s">
        <v>141</v>
      </c>
      <c r="H4" s="12" t="s">
        <v>142</v>
      </c>
      <c r="I4" s="12" t="s">
        <v>143</v>
      </c>
      <c r="J4" s="12" t="s">
        <v>144</v>
      </c>
      <c r="K4" s="16" t="s">
        <v>145</v>
      </c>
      <c r="L4" s="12" t="s">
        <v>155</v>
      </c>
      <c r="M4" s="12" t="s">
        <v>156</v>
      </c>
      <c r="N4" s="12" t="s">
        <v>157</v>
      </c>
      <c r="O4" s="12" t="s">
        <v>158</v>
      </c>
      <c r="P4" s="12" t="s">
        <v>159</v>
      </c>
      <c r="Q4" s="16" t="s">
        <v>160</v>
      </c>
    </row>
    <row r="5" spans="1:17" ht="16.5" x14ac:dyDescent="0.3">
      <c r="A5" s="20" t="s">
        <v>25</v>
      </c>
      <c r="B5" s="21" t="s">
        <v>26</v>
      </c>
      <c r="C5" s="77">
        <v>10152148</v>
      </c>
      <c r="D5" s="22">
        <v>0</v>
      </c>
      <c r="E5" s="22">
        <v>0</v>
      </c>
      <c r="F5" s="22">
        <v>23810385</v>
      </c>
      <c r="G5" s="22">
        <v>0</v>
      </c>
      <c r="H5" s="22">
        <v>0</v>
      </c>
      <c r="I5" s="22">
        <f t="shared" ref="I5:I42" si="0">SUM(F5:H5)</f>
        <v>23810385</v>
      </c>
      <c r="J5" s="22">
        <v>7912872</v>
      </c>
      <c r="K5" s="22">
        <f t="shared" ref="K5:K42" si="1">SUM(I5+J5)</f>
        <v>31723257</v>
      </c>
      <c r="L5" s="78">
        <v>1.0273999999999999</v>
      </c>
      <c r="M5" s="65">
        <v>3.0639394236053876</v>
      </c>
      <c r="N5" s="65">
        <v>1.3063865406408419</v>
      </c>
      <c r="O5" s="79">
        <f t="shared" ref="O5:O42" si="2">M5+N5</f>
        <v>4.3703259642462298</v>
      </c>
      <c r="P5" s="65">
        <v>0.5326446142962965</v>
      </c>
      <c r="Q5" s="80">
        <f t="shared" ref="Q5:Q42" si="3">O5+P5</f>
        <v>4.9029705785425266</v>
      </c>
    </row>
    <row r="6" spans="1:17" ht="16.5" x14ac:dyDescent="0.3">
      <c r="A6" s="20" t="s">
        <v>27</v>
      </c>
      <c r="B6" s="21" t="s">
        <v>54</v>
      </c>
      <c r="C6" s="77">
        <v>22206421</v>
      </c>
      <c r="D6" s="22">
        <v>12376389</v>
      </c>
      <c r="E6" s="22">
        <v>0</v>
      </c>
      <c r="F6" s="22">
        <v>9469343.6799999997</v>
      </c>
      <c r="G6" s="22">
        <v>0</v>
      </c>
      <c r="H6" s="22">
        <v>620937.36</v>
      </c>
      <c r="I6" s="22">
        <f t="shared" si="0"/>
        <v>10090281.039999999</v>
      </c>
      <c r="J6" s="22">
        <v>5169322.24</v>
      </c>
      <c r="K6" s="22">
        <f t="shared" si="1"/>
        <v>15259603.279999999</v>
      </c>
      <c r="L6" s="78">
        <v>0.90159999999999996</v>
      </c>
      <c r="M6" s="65">
        <v>0.53620015910704022</v>
      </c>
      <c r="N6" s="65">
        <v>1.8377395189349992</v>
      </c>
      <c r="O6" s="79">
        <f t="shared" si="2"/>
        <v>2.3739396780420394</v>
      </c>
      <c r="P6" s="65">
        <v>0.2472359035246485</v>
      </c>
      <c r="Q6" s="80">
        <f t="shared" si="3"/>
        <v>2.6211755815666877</v>
      </c>
    </row>
    <row r="7" spans="1:17" ht="16.5" x14ac:dyDescent="0.3">
      <c r="A7" s="20" t="s">
        <v>27</v>
      </c>
      <c r="B7" s="21" t="s">
        <v>28</v>
      </c>
      <c r="C7" s="77">
        <v>35244453</v>
      </c>
      <c r="D7" s="22">
        <v>0</v>
      </c>
      <c r="E7" s="22">
        <v>0</v>
      </c>
      <c r="F7" s="22">
        <v>16514172.34</v>
      </c>
      <c r="G7" s="22">
        <v>79692</v>
      </c>
      <c r="H7" s="22">
        <v>658096</v>
      </c>
      <c r="I7" s="22">
        <f t="shared" si="0"/>
        <v>17251960.34</v>
      </c>
      <c r="J7" s="22">
        <v>5100236.51</v>
      </c>
      <c r="K7" s="22">
        <f t="shared" si="1"/>
        <v>22352196.850000001</v>
      </c>
      <c r="L7" s="78">
        <v>0.77090000000000003</v>
      </c>
      <c r="M7" s="65">
        <v>0.8345751867589889</v>
      </c>
      <c r="N7" s="65">
        <v>1.7049741226505397</v>
      </c>
      <c r="O7" s="79">
        <f t="shared" si="2"/>
        <v>2.5395493094095287</v>
      </c>
      <c r="P7" s="65">
        <v>0.23937442172597667</v>
      </c>
      <c r="Q7" s="80">
        <f t="shared" si="3"/>
        <v>2.7789237311355053</v>
      </c>
    </row>
    <row r="8" spans="1:17" ht="16.5" x14ac:dyDescent="0.3">
      <c r="A8" s="20" t="s">
        <v>27</v>
      </c>
      <c r="B8" s="21" t="s">
        <v>55</v>
      </c>
      <c r="C8" s="77">
        <v>30429709</v>
      </c>
      <c r="D8" s="22">
        <v>12443338</v>
      </c>
      <c r="E8" s="22">
        <v>0</v>
      </c>
      <c r="F8" s="22">
        <v>14718865.92</v>
      </c>
      <c r="G8" s="22">
        <v>217528.3</v>
      </c>
      <c r="H8" s="22">
        <v>876187</v>
      </c>
      <c r="I8" s="22">
        <f t="shared" si="0"/>
        <v>15812581.220000001</v>
      </c>
      <c r="J8" s="22">
        <v>4763460.96</v>
      </c>
      <c r="K8" s="22">
        <f t="shared" si="1"/>
        <v>20576042.18</v>
      </c>
      <c r="L8" s="78">
        <v>0.82989999999999997</v>
      </c>
      <c r="M8" s="65">
        <v>0.60327145925238612</v>
      </c>
      <c r="N8" s="65">
        <v>1.6356649977913054</v>
      </c>
      <c r="O8" s="79">
        <f t="shared" si="2"/>
        <v>2.2389364570436916</v>
      </c>
      <c r="P8" s="65">
        <v>0.24926699193505414</v>
      </c>
      <c r="Q8" s="80">
        <f t="shared" si="3"/>
        <v>2.4882034489787457</v>
      </c>
    </row>
    <row r="9" spans="1:17" ht="16.5" x14ac:dyDescent="0.3">
      <c r="A9" s="20" t="s">
        <v>27</v>
      </c>
      <c r="B9" s="21" t="s">
        <v>56</v>
      </c>
      <c r="C9" s="77">
        <v>0</v>
      </c>
      <c r="D9" s="22">
        <v>30270658</v>
      </c>
      <c r="E9" s="22">
        <v>0</v>
      </c>
      <c r="F9" s="22">
        <v>14986534</v>
      </c>
      <c r="G9" s="22">
        <v>0</v>
      </c>
      <c r="H9" s="22">
        <v>701207</v>
      </c>
      <c r="I9" s="22">
        <f t="shared" si="0"/>
        <v>15687741</v>
      </c>
      <c r="J9" s="22">
        <v>4219058</v>
      </c>
      <c r="K9" s="22">
        <f t="shared" si="1"/>
        <v>19906799</v>
      </c>
      <c r="L9" s="78">
        <v>0.94319999999999993</v>
      </c>
      <c r="M9" s="65">
        <v>0.73364618347545341</v>
      </c>
      <c r="N9" s="65">
        <v>1.4156246404750499</v>
      </c>
      <c r="O9" s="79">
        <f t="shared" si="2"/>
        <v>2.1492708239505034</v>
      </c>
      <c r="P9" s="65">
        <v>0.24021669164563964</v>
      </c>
      <c r="Q9" s="80">
        <f t="shared" si="3"/>
        <v>2.389487515596143</v>
      </c>
    </row>
    <row r="10" spans="1:17" ht="16.5" x14ac:dyDescent="0.3">
      <c r="A10" s="20" t="s">
        <v>57</v>
      </c>
      <c r="B10" s="21" t="s">
        <v>58</v>
      </c>
      <c r="C10" s="77">
        <v>15345615</v>
      </c>
      <c r="D10" s="22">
        <v>6957159</v>
      </c>
      <c r="E10" s="22">
        <v>0</v>
      </c>
      <c r="F10" s="22">
        <v>5380880.3300000001</v>
      </c>
      <c r="G10" s="22">
        <v>138119.59</v>
      </c>
      <c r="H10" s="22">
        <v>0</v>
      </c>
      <c r="I10" s="22">
        <f t="shared" si="0"/>
        <v>5518999.9199999999</v>
      </c>
      <c r="J10" s="22">
        <v>4013972.67</v>
      </c>
      <c r="K10" s="22">
        <f t="shared" si="1"/>
        <v>9532972.5899999999</v>
      </c>
      <c r="L10" s="78">
        <v>0.97640000000000005</v>
      </c>
      <c r="M10" s="65">
        <v>0.39016367734113805</v>
      </c>
      <c r="N10" s="65">
        <v>1.5766864368333462</v>
      </c>
      <c r="O10" s="79">
        <f t="shared" si="2"/>
        <v>1.9668501141744843</v>
      </c>
      <c r="P10" s="65">
        <v>0.39244069917628915</v>
      </c>
      <c r="Q10" s="80">
        <f t="shared" si="3"/>
        <v>2.3592908133507735</v>
      </c>
    </row>
    <row r="11" spans="1:17" ht="16.5" x14ac:dyDescent="0.3">
      <c r="A11" s="20" t="s">
        <v>57</v>
      </c>
      <c r="B11" s="21" t="s">
        <v>59</v>
      </c>
      <c r="C11" s="77">
        <v>47799190</v>
      </c>
      <c r="D11" s="22">
        <v>23524924</v>
      </c>
      <c r="E11" s="22">
        <v>0</v>
      </c>
      <c r="F11" s="22">
        <v>12368040.74</v>
      </c>
      <c r="G11" s="22">
        <v>731157</v>
      </c>
      <c r="H11" s="22">
        <v>0</v>
      </c>
      <c r="I11" s="22">
        <f t="shared" si="0"/>
        <v>13099197.74</v>
      </c>
      <c r="J11" s="22">
        <v>8784208</v>
      </c>
      <c r="K11" s="22">
        <f t="shared" si="1"/>
        <v>21883405.740000002</v>
      </c>
      <c r="L11" s="78">
        <v>0.87790000000000001</v>
      </c>
      <c r="M11" s="65">
        <v>0.37756351288762841</v>
      </c>
      <c r="N11" s="65">
        <v>2.0558039942557333</v>
      </c>
      <c r="O11" s="79">
        <f t="shared" si="2"/>
        <v>2.4333675071433616</v>
      </c>
      <c r="P11" s="65">
        <v>0.38623790725220281</v>
      </c>
      <c r="Q11" s="80">
        <f t="shared" si="3"/>
        <v>2.8196054143955642</v>
      </c>
    </row>
    <row r="12" spans="1:17" ht="16.5" x14ac:dyDescent="0.3">
      <c r="A12" s="20" t="s">
        <v>57</v>
      </c>
      <c r="B12" s="21" t="s">
        <v>60</v>
      </c>
      <c r="C12" s="77">
        <v>15242604</v>
      </c>
      <c r="D12" s="22">
        <v>0</v>
      </c>
      <c r="E12" s="22">
        <v>0</v>
      </c>
      <c r="F12" s="22">
        <v>15285484.98</v>
      </c>
      <c r="G12" s="22">
        <v>0</v>
      </c>
      <c r="H12" s="22">
        <v>0</v>
      </c>
      <c r="I12" s="22">
        <f t="shared" si="0"/>
        <v>15285484.98</v>
      </c>
      <c r="J12" s="22">
        <v>9754928.7699999996</v>
      </c>
      <c r="K12" s="22">
        <f t="shared" si="1"/>
        <v>25040413.75</v>
      </c>
      <c r="L12" s="78">
        <v>0.98670000000000002</v>
      </c>
      <c r="M12" s="65">
        <v>1.0138132027079465</v>
      </c>
      <c r="N12" s="65">
        <v>1.0109691121392836</v>
      </c>
      <c r="O12" s="79">
        <f t="shared" si="2"/>
        <v>2.0247823148472301</v>
      </c>
      <c r="P12" s="65">
        <v>0.39923155516833775</v>
      </c>
      <c r="Q12" s="80">
        <f t="shared" si="3"/>
        <v>2.424013870015568</v>
      </c>
    </row>
    <row r="13" spans="1:17" ht="16.5" x14ac:dyDescent="0.3">
      <c r="A13" s="20" t="s">
        <v>57</v>
      </c>
      <c r="B13" s="21" t="s">
        <v>61</v>
      </c>
      <c r="C13" s="77">
        <v>12527206</v>
      </c>
      <c r="D13" s="22">
        <v>7621448</v>
      </c>
      <c r="E13" s="22">
        <v>0</v>
      </c>
      <c r="F13" s="22">
        <v>4068389.8</v>
      </c>
      <c r="G13" s="22">
        <v>199157</v>
      </c>
      <c r="H13" s="22">
        <v>0</v>
      </c>
      <c r="I13" s="22">
        <f t="shared" si="0"/>
        <v>4267546.8</v>
      </c>
      <c r="J13" s="22">
        <v>3081206</v>
      </c>
      <c r="K13" s="22">
        <f t="shared" si="1"/>
        <v>7348752.7999999998</v>
      </c>
      <c r="L13" s="78">
        <v>0.7913</v>
      </c>
      <c r="M13" s="65">
        <v>0.33925753784936591</v>
      </c>
      <c r="N13" s="65">
        <v>1.6017592934232796</v>
      </c>
      <c r="O13" s="79">
        <f t="shared" si="2"/>
        <v>1.9410168312726455</v>
      </c>
      <c r="P13" s="65">
        <v>0.37935392545945495</v>
      </c>
      <c r="Q13" s="80">
        <f t="shared" si="3"/>
        <v>2.3203707567321006</v>
      </c>
    </row>
    <row r="14" spans="1:17" ht="16.5" x14ac:dyDescent="0.3">
      <c r="A14" s="20" t="s">
        <v>62</v>
      </c>
      <c r="B14" s="21" t="s">
        <v>63</v>
      </c>
      <c r="C14" s="77">
        <v>1520928</v>
      </c>
      <c r="D14" s="22">
        <v>0</v>
      </c>
      <c r="E14" s="22">
        <v>0</v>
      </c>
      <c r="F14" s="22">
        <v>502154.1</v>
      </c>
      <c r="G14" s="22">
        <v>0</v>
      </c>
      <c r="H14" s="22">
        <v>0</v>
      </c>
      <c r="I14" s="22">
        <f t="shared" si="0"/>
        <v>502154.1</v>
      </c>
      <c r="J14" s="22">
        <v>1295922</v>
      </c>
      <c r="K14" s="22">
        <f t="shared" si="1"/>
        <v>1798076.1</v>
      </c>
      <c r="L14" s="78">
        <v>1.2529000000000001</v>
      </c>
      <c r="M14" s="65">
        <v>0.38062345241048834</v>
      </c>
      <c r="N14" s="65">
        <v>1.1528350883280238</v>
      </c>
      <c r="O14" s="79">
        <f t="shared" si="2"/>
        <v>1.5334585407385122</v>
      </c>
      <c r="P14" s="65">
        <v>1.2467040847706958</v>
      </c>
      <c r="Q14" s="80">
        <f t="shared" si="3"/>
        <v>2.7801626255092078</v>
      </c>
    </row>
    <row r="15" spans="1:17" ht="16.5" x14ac:dyDescent="0.3">
      <c r="A15" s="20" t="s">
        <v>62</v>
      </c>
      <c r="B15" s="27" t="s">
        <v>64</v>
      </c>
      <c r="C15" s="77">
        <v>1611178</v>
      </c>
      <c r="D15" s="22">
        <v>1605686</v>
      </c>
      <c r="E15" s="22">
        <v>0</v>
      </c>
      <c r="F15" s="22">
        <v>1369687.7</v>
      </c>
      <c r="G15" s="22">
        <v>0</v>
      </c>
      <c r="H15" s="22">
        <v>0</v>
      </c>
      <c r="I15" s="22">
        <f t="shared" si="0"/>
        <v>1369687.7</v>
      </c>
      <c r="J15" s="22">
        <v>2518167.1399999997</v>
      </c>
      <c r="K15" s="22">
        <f t="shared" si="1"/>
        <v>3887854.84</v>
      </c>
      <c r="L15" s="78">
        <v>1.1146</v>
      </c>
      <c r="M15" s="65">
        <v>0.48880121800493487</v>
      </c>
      <c r="N15" s="65">
        <v>1.1480040606017174</v>
      </c>
      <c r="O15" s="79">
        <f t="shared" si="2"/>
        <v>1.6368052786066523</v>
      </c>
      <c r="P15" s="65">
        <v>1.2628171355668076</v>
      </c>
      <c r="Q15" s="80">
        <f t="shared" si="3"/>
        <v>2.8996224141734599</v>
      </c>
    </row>
    <row r="16" spans="1:17" ht="16.5" x14ac:dyDescent="0.3">
      <c r="A16" s="20" t="s">
        <v>62</v>
      </c>
      <c r="B16" s="21" t="s">
        <v>65</v>
      </c>
      <c r="C16" s="77">
        <v>2631724</v>
      </c>
      <c r="D16" s="22">
        <v>0</v>
      </c>
      <c r="E16" s="22">
        <v>0</v>
      </c>
      <c r="F16" s="22">
        <v>1227003.3700000001</v>
      </c>
      <c r="G16" s="22">
        <v>0</v>
      </c>
      <c r="H16" s="22">
        <v>0</v>
      </c>
      <c r="I16" s="22">
        <f t="shared" si="0"/>
        <v>1227003.3700000001</v>
      </c>
      <c r="J16" s="22">
        <v>1149975.08</v>
      </c>
      <c r="K16" s="22">
        <f t="shared" si="1"/>
        <v>2376978.4500000002</v>
      </c>
      <c r="L16" s="78">
        <v>1.0277000000000001</v>
      </c>
      <c r="M16" s="65">
        <v>0.54523785631762611</v>
      </c>
      <c r="N16" s="65">
        <v>1.1694471158458581</v>
      </c>
      <c r="O16" s="79">
        <f t="shared" si="2"/>
        <v>1.7146849721634843</v>
      </c>
      <c r="P16" s="65">
        <v>1.2478900930411407</v>
      </c>
      <c r="Q16" s="80">
        <f t="shared" si="3"/>
        <v>2.962575065204625</v>
      </c>
    </row>
    <row r="17" spans="1:17" ht="16.5" x14ac:dyDescent="0.3">
      <c r="A17" s="20" t="s">
        <v>29</v>
      </c>
      <c r="B17" s="27" t="s">
        <v>64</v>
      </c>
      <c r="C17" s="77">
        <v>11980976</v>
      </c>
      <c r="D17" s="22">
        <v>17970298</v>
      </c>
      <c r="E17" s="22">
        <v>0</v>
      </c>
      <c r="F17" s="22">
        <v>14455482.08</v>
      </c>
      <c r="G17" s="22">
        <v>320009</v>
      </c>
      <c r="H17" s="22">
        <v>1085731</v>
      </c>
      <c r="I17" s="22">
        <f t="shared" si="0"/>
        <v>15861222.08</v>
      </c>
      <c r="J17" s="22">
        <v>7624574.3799999999</v>
      </c>
      <c r="K17" s="22">
        <f t="shared" si="1"/>
        <v>23485796.460000001</v>
      </c>
      <c r="L17" s="78">
        <v>0.87690000000000001</v>
      </c>
      <c r="M17" s="65">
        <v>0.43477472481284701</v>
      </c>
      <c r="N17" s="65">
        <v>0.82099959545766465</v>
      </c>
      <c r="O17" s="79">
        <f t="shared" si="2"/>
        <v>1.2557743202705116</v>
      </c>
      <c r="P17" s="65">
        <v>0.43952107766220827</v>
      </c>
      <c r="Q17" s="80">
        <f t="shared" si="3"/>
        <v>1.6952953979327199</v>
      </c>
    </row>
    <row r="18" spans="1:17" ht="16.5" x14ac:dyDescent="0.3">
      <c r="A18" s="20" t="s">
        <v>29</v>
      </c>
      <c r="B18" s="21" t="s">
        <v>30</v>
      </c>
      <c r="C18" s="77">
        <v>135819599</v>
      </c>
      <c r="D18" s="22">
        <v>0</v>
      </c>
      <c r="E18" s="22">
        <v>8375781</v>
      </c>
      <c r="F18" s="22">
        <v>243728100</v>
      </c>
      <c r="G18" s="22">
        <v>3704638</v>
      </c>
      <c r="H18" s="22">
        <v>4785266</v>
      </c>
      <c r="I18" s="22">
        <f t="shared" si="0"/>
        <v>252218004</v>
      </c>
      <c r="J18" s="22">
        <v>453068289.80000001</v>
      </c>
      <c r="K18" s="22">
        <f t="shared" si="1"/>
        <v>705286293.79999995</v>
      </c>
      <c r="L18" s="78">
        <v>0.86409999999999998</v>
      </c>
      <c r="M18" s="65">
        <v>1.6834106277564524</v>
      </c>
      <c r="N18" s="65">
        <v>0.96242152152381732</v>
      </c>
      <c r="O18" s="79">
        <f t="shared" si="2"/>
        <v>2.6458321492802699</v>
      </c>
      <c r="P18" s="65">
        <v>0.48510166236846242</v>
      </c>
      <c r="Q18" s="80">
        <f t="shared" si="3"/>
        <v>3.1309338116487324</v>
      </c>
    </row>
    <row r="19" spans="1:17" ht="16.5" x14ac:dyDescent="0.3">
      <c r="A19" s="20" t="s">
        <v>66</v>
      </c>
      <c r="B19" s="21" t="s">
        <v>67</v>
      </c>
      <c r="C19" s="77">
        <v>10533540</v>
      </c>
      <c r="D19" s="22">
        <v>5426794</v>
      </c>
      <c r="E19" s="22">
        <v>0</v>
      </c>
      <c r="F19" s="22">
        <v>2696362.14</v>
      </c>
      <c r="G19" s="22">
        <v>93445</v>
      </c>
      <c r="H19" s="22">
        <v>0</v>
      </c>
      <c r="I19" s="22">
        <f t="shared" si="0"/>
        <v>2789807.14</v>
      </c>
      <c r="J19" s="22">
        <v>4255550</v>
      </c>
      <c r="K19" s="22">
        <f t="shared" si="1"/>
        <v>7045357.1400000006</v>
      </c>
      <c r="L19" s="78">
        <v>0.99269999999999992</v>
      </c>
      <c r="M19" s="65">
        <v>0.2963416129843548</v>
      </c>
      <c r="N19" s="65">
        <v>1.6953541531652399</v>
      </c>
      <c r="O19" s="79">
        <f t="shared" si="2"/>
        <v>1.9916957661495946</v>
      </c>
      <c r="P19" s="65">
        <v>0.37158177946524346</v>
      </c>
      <c r="Q19" s="80">
        <f t="shared" si="3"/>
        <v>2.3632775456148383</v>
      </c>
    </row>
    <row r="20" spans="1:17" ht="16.5" x14ac:dyDescent="0.3">
      <c r="A20" s="20" t="s">
        <v>31</v>
      </c>
      <c r="B20" s="21" t="s">
        <v>32</v>
      </c>
      <c r="C20" s="77">
        <v>137771480</v>
      </c>
      <c r="D20" s="22">
        <v>0</v>
      </c>
      <c r="E20" s="22">
        <v>0</v>
      </c>
      <c r="F20" s="22">
        <v>41353618.200000003</v>
      </c>
      <c r="G20" s="22">
        <v>380311.69</v>
      </c>
      <c r="H20" s="22">
        <v>2535450</v>
      </c>
      <c r="I20" s="22">
        <f t="shared" si="0"/>
        <v>44269379.890000001</v>
      </c>
      <c r="J20" s="22">
        <v>30244115.149999999</v>
      </c>
      <c r="K20" s="22">
        <f t="shared" si="1"/>
        <v>74513495.039999992</v>
      </c>
      <c r="L20" s="78">
        <v>0.2482</v>
      </c>
      <c r="M20" s="65">
        <v>0.5783547551734719</v>
      </c>
      <c r="N20" s="65">
        <v>1.7999075384221943</v>
      </c>
      <c r="O20" s="79">
        <f t="shared" si="2"/>
        <v>2.3782622935956663</v>
      </c>
      <c r="P20" s="65">
        <v>0.38657550544853564</v>
      </c>
      <c r="Q20" s="80">
        <f t="shared" si="3"/>
        <v>2.7648377990442019</v>
      </c>
    </row>
    <row r="21" spans="1:17" ht="15.75" customHeight="1" x14ac:dyDescent="0.3">
      <c r="A21" s="20" t="s">
        <v>31</v>
      </c>
      <c r="B21" s="21" t="s">
        <v>33</v>
      </c>
      <c r="C21" s="77">
        <v>106576433</v>
      </c>
      <c r="D21" s="22">
        <v>0</v>
      </c>
      <c r="E21" s="22">
        <v>0</v>
      </c>
      <c r="F21" s="22">
        <v>35064179.5</v>
      </c>
      <c r="G21" s="22">
        <v>0</v>
      </c>
      <c r="H21" s="22">
        <v>2788823</v>
      </c>
      <c r="I21" s="22">
        <f t="shared" si="0"/>
        <v>37853002.5</v>
      </c>
      <c r="J21" s="22">
        <v>21235232.5</v>
      </c>
      <c r="K21" s="22">
        <f t="shared" si="1"/>
        <v>59088235</v>
      </c>
      <c r="L21" s="78">
        <v>0.41110000000000002</v>
      </c>
      <c r="M21" s="65">
        <v>0.44170808986667826</v>
      </c>
      <c r="N21" s="65">
        <v>1.2436443488263318</v>
      </c>
      <c r="O21" s="79">
        <f t="shared" si="2"/>
        <v>1.6853524386930101</v>
      </c>
      <c r="P21" s="65">
        <v>0.38419370803665115</v>
      </c>
      <c r="Q21" s="80">
        <f t="shared" si="3"/>
        <v>2.0695461467296612</v>
      </c>
    </row>
    <row r="22" spans="1:17" ht="15.75" customHeight="1" x14ac:dyDescent="0.3">
      <c r="A22" s="20" t="s">
        <v>31</v>
      </c>
      <c r="B22" s="21" t="s">
        <v>34</v>
      </c>
      <c r="C22" s="77">
        <v>26438319</v>
      </c>
      <c r="D22" s="22">
        <v>0</v>
      </c>
      <c r="E22" s="22">
        <v>0</v>
      </c>
      <c r="F22" s="22">
        <v>13391306.58</v>
      </c>
      <c r="G22" s="22">
        <v>0</v>
      </c>
      <c r="H22" s="22">
        <v>513606</v>
      </c>
      <c r="I22" s="22">
        <f t="shared" si="0"/>
        <v>13904912.58</v>
      </c>
      <c r="J22" s="22">
        <v>7020259.0099999998</v>
      </c>
      <c r="K22" s="22">
        <f t="shared" si="1"/>
        <v>20925171.59</v>
      </c>
      <c r="L22" s="78">
        <v>0.2873</v>
      </c>
      <c r="M22" s="65">
        <v>0.81249766463885231</v>
      </c>
      <c r="N22" s="65">
        <v>1.5448549079966238</v>
      </c>
      <c r="O22" s="79">
        <f t="shared" si="2"/>
        <v>2.357352572635476</v>
      </c>
      <c r="P22" s="65">
        <v>0.35188201746863434</v>
      </c>
      <c r="Q22" s="80">
        <f t="shared" si="3"/>
        <v>2.7092345901041104</v>
      </c>
    </row>
    <row r="23" spans="1:17" ht="15.75" customHeight="1" x14ac:dyDescent="0.3">
      <c r="A23" s="20" t="s">
        <v>31</v>
      </c>
      <c r="B23" s="21" t="s">
        <v>35</v>
      </c>
      <c r="C23" s="77">
        <v>67957093</v>
      </c>
      <c r="D23" s="22">
        <v>0</v>
      </c>
      <c r="E23" s="22">
        <v>0</v>
      </c>
      <c r="F23" s="22">
        <v>33375265.949999999</v>
      </c>
      <c r="G23" s="22">
        <v>460396.92</v>
      </c>
      <c r="H23" s="22">
        <v>1662794.79</v>
      </c>
      <c r="I23" s="22">
        <f t="shared" si="0"/>
        <v>35498457.659999996</v>
      </c>
      <c r="J23" s="22">
        <v>27689365.829999998</v>
      </c>
      <c r="K23" s="22">
        <f t="shared" si="1"/>
        <v>63187823.489999995</v>
      </c>
      <c r="L23" s="78">
        <v>0.43819999999999998</v>
      </c>
      <c r="M23" s="65">
        <v>0.67573970777621895</v>
      </c>
      <c r="N23" s="65">
        <v>1.2936141227590827</v>
      </c>
      <c r="O23" s="79">
        <f t="shared" si="2"/>
        <v>1.9693538305353018</v>
      </c>
      <c r="P23" s="65">
        <v>0.37265524023712743</v>
      </c>
      <c r="Q23" s="80">
        <f t="shared" si="3"/>
        <v>2.3420090707724293</v>
      </c>
    </row>
    <row r="24" spans="1:17" ht="15.75" customHeight="1" x14ac:dyDescent="0.3">
      <c r="A24" s="20" t="s">
        <v>31</v>
      </c>
      <c r="B24" s="21" t="s">
        <v>36</v>
      </c>
      <c r="C24" s="77">
        <v>18146571</v>
      </c>
      <c r="D24" s="22">
        <v>0</v>
      </c>
      <c r="E24" s="22">
        <v>0</v>
      </c>
      <c r="F24" s="22">
        <v>10268266</v>
      </c>
      <c r="G24" s="22">
        <v>0</v>
      </c>
      <c r="H24" s="22">
        <v>480181</v>
      </c>
      <c r="I24" s="22">
        <f t="shared" si="0"/>
        <v>10748447</v>
      </c>
      <c r="J24" s="22">
        <v>7915195.1799999997</v>
      </c>
      <c r="K24" s="22">
        <f t="shared" si="1"/>
        <v>18663642.18</v>
      </c>
      <c r="L24" s="78">
        <v>0.99199999999999999</v>
      </c>
      <c r="M24" s="65">
        <v>0.70559352481667736</v>
      </c>
      <c r="N24" s="65">
        <v>1.1912514426713086</v>
      </c>
      <c r="O24" s="79">
        <f t="shared" si="2"/>
        <v>1.8968449674879859</v>
      </c>
      <c r="P24" s="65">
        <v>0.37143426256949991</v>
      </c>
      <c r="Q24" s="80">
        <f t="shared" si="3"/>
        <v>2.2682792300574857</v>
      </c>
    </row>
    <row r="25" spans="1:17" ht="15.75" customHeight="1" x14ac:dyDescent="0.3">
      <c r="A25" s="20" t="s">
        <v>31</v>
      </c>
      <c r="B25" s="21" t="s">
        <v>37</v>
      </c>
      <c r="C25" s="77">
        <v>190553334</v>
      </c>
      <c r="D25" s="22">
        <v>0</v>
      </c>
      <c r="E25" s="22">
        <v>0</v>
      </c>
      <c r="F25" s="22">
        <v>100219589</v>
      </c>
      <c r="G25" s="22">
        <v>0</v>
      </c>
      <c r="H25" s="22">
        <v>3920058.23</v>
      </c>
      <c r="I25" s="22">
        <f t="shared" si="0"/>
        <v>104139647.23</v>
      </c>
      <c r="J25" s="22">
        <v>76053546.039999992</v>
      </c>
      <c r="K25" s="22">
        <f t="shared" si="1"/>
        <v>180193193.26999998</v>
      </c>
      <c r="L25" s="78">
        <v>0.2535</v>
      </c>
      <c r="M25" s="65">
        <v>0.82672514313518219</v>
      </c>
      <c r="N25" s="65">
        <v>1.5127306123681035</v>
      </c>
      <c r="O25" s="79">
        <f t="shared" si="2"/>
        <v>2.3394557555032858</v>
      </c>
      <c r="P25" s="65">
        <v>0.36706365833443411</v>
      </c>
      <c r="Q25" s="80">
        <f t="shared" si="3"/>
        <v>2.7065194138377198</v>
      </c>
    </row>
    <row r="26" spans="1:17" ht="15.75" customHeight="1" x14ac:dyDescent="0.3">
      <c r="A26" s="20" t="s">
        <v>38</v>
      </c>
      <c r="B26" s="21" t="s">
        <v>39</v>
      </c>
      <c r="C26" s="77">
        <v>5294981</v>
      </c>
      <c r="D26" s="22">
        <v>0</v>
      </c>
      <c r="E26" s="22">
        <v>0</v>
      </c>
      <c r="F26" s="22">
        <v>12047538.390000001</v>
      </c>
      <c r="G26" s="22">
        <v>0</v>
      </c>
      <c r="H26" s="22">
        <v>0</v>
      </c>
      <c r="I26" s="22">
        <f t="shared" si="0"/>
        <v>12047538.390000001</v>
      </c>
      <c r="J26" s="22">
        <v>6808300.46</v>
      </c>
      <c r="K26" s="22">
        <f t="shared" si="1"/>
        <v>18855838.850000001</v>
      </c>
      <c r="L26" s="78">
        <v>0.73930000000000007</v>
      </c>
      <c r="M26" s="65">
        <v>1.8737324666013986</v>
      </c>
      <c r="N26" s="65">
        <v>0.82351908651917893</v>
      </c>
      <c r="O26" s="79">
        <f t="shared" si="2"/>
        <v>2.6972515531205774</v>
      </c>
      <c r="P26" s="65">
        <v>0.2655162828426656</v>
      </c>
      <c r="Q26" s="80">
        <f t="shared" si="3"/>
        <v>2.962767835963243</v>
      </c>
    </row>
    <row r="27" spans="1:17" ht="15.75" customHeight="1" x14ac:dyDescent="0.3">
      <c r="A27" s="20" t="s">
        <v>38</v>
      </c>
      <c r="B27" s="21" t="s">
        <v>40</v>
      </c>
      <c r="C27" s="77">
        <v>66693248</v>
      </c>
      <c r="D27" s="22">
        <v>29390697</v>
      </c>
      <c r="E27" s="22">
        <v>0</v>
      </c>
      <c r="F27" s="22">
        <v>23542539.190000001</v>
      </c>
      <c r="G27" s="22">
        <v>1411610.1</v>
      </c>
      <c r="H27" s="22">
        <v>0</v>
      </c>
      <c r="I27" s="22">
        <f t="shared" si="0"/>
        <v>24954149.290000003</v>
      </c>
      <c r="J27" s="22">
        <v>11370626.960000001</v>
      </c>
      <c r="K27" s="22">
        <f t="shared" si="1"/>
        <v>36324776.25</v>
      </c>
      <c r="L27" s="78">
        <v>0.94389999999999996</v>
      </c>
      <c r="M27" s="65">
        <v>0.33372135146903037</v>
      </c>
      <c r="N27" s="65">
        <v>1.2849672255798219</v>
      </c>
      <c r="O27" s="79">
        <f t="shared" si="2"/>
        <v>1.6186885770488524</v>
      </c>
      <c r="P27" s="65">
        <v>0.27611726417921817</v>
      </c>
      <c r="Q27" s="80">
        <f t="shared" si="3"/>
        <v>1.8948058412280706</v>
      </c>
    </row>
    <row r="28" spans="1:17" ht="15.75" customHeight="1" x14ac:dyDescent="0.3">
      <c r="A28" s="20" t="s">
        <v>38</v>
      </c>
      <c r="B28" s="21" t="s">
        <v>68</v>
      </c>
      <c r="C28" s="77">
        <v>68874216</v>
      </c>
      <c r="D28" s="22">
        <v>0</v>
      </c>
      <c r="E28" s="22">
        <v>0</v>
      </c>
      <c r="F28" s="22">
        <v>22304536.850000001</v>
      </c>
      <c r="G28" s="22">
        <v>551871.23</v>
      </c>
      <c r="H28" s="22">
        <v>0</v>
      </c>
      <c r="I28" s="22">
        <f t="shared" si="0"/>
        <v>22856408.080000002</v>
      </c>
      <c r="J28" s="22">
        <v>16450542.789999999</v>
      </c>
      <c r="K28" s="22">
        <f t="shared" si="1"/>
        <v>39306950.870000005</v>
      </c>
      <c r="L28" s="78">
        <v>0.97620000000000007</v>
      </c>
      <c r="M28" s="65">
        <v>0.4047179974847559</v>
      </c>
      <c r="N28" s="65">
        <v>1.2195544759390089</v>
      </c>
      <c r="O28" s="79">
        <f t="shared" si="2"/>
        <v>1.6242724734237648</v>
      </c>
      <c r="P28" s="65">
        <v>0.2694734699333094</v>
      </c>
      <c r="Q28" s="80">
        <f t="shared" si="3"/>
        <v>1.8937459433570742</v>
      </c>
    </row>
    <row r="29" spans="1:17" ht="15.75" customHeight="1" x14ac:dyDescent="0.3">
      <c r="A29" s="20" t="s">
        <v>38</v>
      </c>
      <c r="B29" s="21" t="s">
        <v>69</v>
      </c>
      <c r="C29" s="77">
        <v>624495</v>
      </c>
      <c r="D29" s="22">
        <v>2761737</v>
      </c>
      <c r="E29" s="22">
        <v>0</v>
      </c>
      <c r="F29" s="22">
        <v>4660000</v>
      </c>
      <c r="G29" s="22">
        <v>0</v>
      </c>
      <c r="H29" s="22">
        <v>0</v>
      </c>
      <c r="I29" s="22">
        <f t="shared" si="0"/>
        <v>4660000</v>
      </c>
      <c r="J29" s="22">
        <v>1550990.37</v>
      </c>
      <c r="K29" s="22">
        <f t="shared" si="1"/>
        <v>6210990.3700000001</v>
      </c>
      <c r="L29" s="78">
        <v>0.90560000000000007</v>
      </c>
      <c r="M29" s="65">
        <v>0.51361656479993245</v>
      </c>
      <c r="N29" s="65">
        <v>0.37322421619218982</v>
      </c>
      <c r="O29" s="79">
        <f t="shared" si="2"/>
        <v>0.88684078099212227</v>
      </c>
      <c r="P29" s="65">
        <v>0.27534655588846452</v>
      </c>
      <c r="Q29" s="80">
        <f t="shared" si="3"/>
        <v>1.1621873368805868</v>
      </c>
    </row>
    <row r="30" spans="1:17" ht="15.75" customHeight="1" x14ac:dyDescent="0.3">
      <c r="A30" s="20" t="s">
        <v>70</v>
      </c>
      <c r="B30" s="21" t="s">
        <v>71</v>
      </c>
      <c r="C30" s="77">
        <v>31746434</v>
      </c>
      <c r="D30" s="22">
        <v>21522674</v>
      </c>
      <c r="E30" s="22">
        <v>0</v>
      </c>
      <c r="F30" s="22">
        <v>13602602.1</v>
      </c>
      <c r="G30" s="22">
        <v>770532.48</v>
      </c>
      <c r="H30" s="22">
        <v>1100244.72</v>
      </c>
      <c r="I30" s="22">
        <f t="shared" si="0"/>
        <v>15473379.300000001</v>
      </c>
      <c r="J30" s="22">
        <v>14123166</v>
      </c>
      <c r="K30" s="22">
        <f t="shared" si="1"/>
        <v>29596545.300000001</v>
      </c>
      <c r="L30" s="78">
        <v>0.92040000000000011</v>
      </c>
      <c r="M30" s="65">
        <v>0.46207326647026414</v>
      </c>
      <c r="N30" s="65">
        <v>1.5907469375818428</v>
      </c>
      <c r="O30" s="79">
        <f t="shared" si="2"/>
        <v>2.0528202040521069</v>
      </c>
      <c r="P30" s="65">
        <v>0.25852583787446232</v>
      </c>
      <c r="Q30" s="80">
        <f t="shared" si="3"/>
        <v>2.3113460419265692</v>
      </c>
    </row>
    <row r="31" spans="1:17" ht="15.75" customHeight="1" x14ac:dyDescent="0.3">
      <c r="A31" s="20" t="s">
        <v>70</v>
      </c>
      <c r="B31" s="21" t="s">
        <v>72</v>
      </c>
      <c r="C31" s="77">
        <v>20165219</v>
      </c>
      <c r="D31" s="22">
        <v>0</v>
      </c>
      <c r="E31" s="22">
        <v>0</v>
      </c>
      <c r="F31" s="22">
        <v>13757455.5</v>
      </c>
      <c r="G31" s="22">
        <v>135645</v>
      </c>
      <c r="H31" s="22">
        <v>478826</v>
      </c>
      <c r="I31" s="22">
        <f t="shared" si="0"/>
        <v>14371926.5</v>
      </c>
      <c r="J31" s="22">
        <v>11146872.359999999</v>
      </c>
      <c r="K31" s="22">
        <f t="shared" si="1"/>
        <v>25518798.859999999</v>
      </c>
      <c r="L31" s="78">
        <v>0.9234</v>
      </c>
      <c r="M31" s="65">
        <v>0.97836536053884959</v>
      </c>
      <c r="N31" s="65">
        <v>1.3727423221430934</v>
      </c>
      <c r="O31" s="79">
        <f t="shared" si="2"/>
        <v>2.3511076826819428</v>
      </c>
      <c r="P31" s="65">
        <v>0.25560275664604476</v>
      </c>
      <c r="Q31" s="80">
        <f t="shared" si="3"/>
        <v>2.6067104393279874</v>
      </c>
    </row>
    <row r="32" spans="1:17" ht="15.75" customHeight="1" x14ac:dyDescent="0.3">
      <c r="A32" s="20" t="s">
        <v>41</v>
      </c>
      <c r="B32" s="21" t="s">
        <v>73</v>
      </c>
      <c r="C32" s="77">
        <v>15332069</v>
      </c>
      <c r="D32" s="22">
        <v>7658589</v>
      </c>
      <c r="E32" s="22">
        <v>0</v>
      </c>
      <c r="F32" s="22">
        <v>13095608.970000001</v>
      </c>
      <c r="G32" s="22">
        <v>75423</v>
      </c>
      <c r="H32" s="22">
        <v>554938</v>
      </c>
      <c r="I32" s="22">
        <f t="shared" si="0"/>
        <v>13725969.970000001</v>
      </c>
      <c r="J32" s="22">
        <v>6596448.9299999997</v>
      </c>
      <c r="K32" s="22">
        <f t="shared" si="1"/>
        <v>20322418.899999999</v>
      </c>
      <c r="L32" s="78">
        <v>0.88780000000000003</v>
      </c>
      <c r="M32" s="65">
        <v>0.80811455195669468</v>
      </c>
      <c r="N32" s="65">
        <v>1.353571757002729</v>
      </c>
      <c r="O32" s="79">
        <f t="shared" si="2"/>
        <v>2.1616863089594238</v>
      </c>
      <c r="P32" s="65">
        <v>0.66502701243016726</v>
      </c>
      <c r="Q32" s="80">
        <f t="shared" si="3"/>
        <v>2.8267133213895912</v>
      </c>
    </row>
    <row r="33" spans="1:17" ht="15.75" customHeight="1" x14ac:dyDescent="0.3">
      <c r="A33" s="20" t="s">
        <v>41</v>
      </c>
      <c r="B33" s="21" t="s">
        <v>42</v>
      </c>
      <c r="C33" s="77">
        <v>50970381</v>
      </c>
      <c r="D33" s="22">
        <v>0</v>
      </c>
      <c r="E33" s="22">
        <v>0</v>
      </c>
      <c r="F33" s="22">
        <v>162498620.69999999</v>
      </c>
      <c r="G33" s="22">
        <v>0</v>
      </c>
      <c r="H33" s="22">
        <v>2475868</v>
      </c>
      <c r="I33" s="22">
        <f t="shared" si="0"/>
        <v>164974488.69999999</v>
      </c>
      <c r="J33" s="22">
        <v>50893273</v>
      </c>
      <c r="K33" s="22">
        <f t="shared" si="1"/>
        <v>215867761.69999999</v>
      </c>
      <c r="L33" s="78">
        <v>0.76249999999999996</v>
      </c>
      <c r="M33" s="65">
        <v>1.9740232930634001</v>
      </c>
      <c r="N33" s="65">
        <v>0.60989259698985299</v>
      </c>
      <c r="O33" s="79">
        <f t="shared" si="2"/>
        <v>2.5839158900532531</v>
      </c>
      <c r="P33" s="65">
        <v>0.60089035579155026</v>
      </c>
      <c r="Q33" s="80">
        <f t="shared" si="3"/>
        <v>3.1848062458448032</v>
      </c>
    </row>
    <row r="34" spans="1:17" ht="15.75" customHeight="1" x14ac:dyDescent="0.3">
      <c r="A34" s="20" t="s">
        <v>41</v>
      </c>
      <c r="B34" s="21" t="s">
        <v>43</v>
      </c>
      <c r="C34" s="77">
        <v>25639759</v>
      </c>
      <c r="D34" s="22">
        <v>0</v>
      </c>
      <c r="E34" s="22">
        <v>0</v>
      </c>
      <c r="F34" s="22">
        <v>10255329.5</v>
      </c>
      <c r="G34" s="22">
        <v>119847</v>
      </c>
      <c r="H34" s="22">
        <v>422639.5</v>
      </c>
      <c r="I34" s="22">
        <f t="shared" si="0"/>
        <v>10797816</v>
      </c>
      <c r="J34" s="22">
        <v>3702326.59</v>
      </c>
      <c r="K34" s="22">
        <f t="shared" si="1"/>
        <v>14500142.59</v>
      </c>
      <c r="L34" s="78">
        <v>0.93769999999999998</v>
      </c>
      <c r="M34" s="65">
        <v>0.84483932480698942</v>
      </c>
      <c r="N34" s="65">
        <v>2.0060979629374991</v>
      </c>
      <c r="O34" s="79">
        <f t="shared" si="2"/>
        <v>2.8509372877444887</v>
      </c>
      <c r="P34" s="65">
        <v>0.67145271214060598</v>
      </c>
      <c r="Q34" s="80">
        <f t="shared" si="3"/>
        <v>3.5223899998850947</v>
      </c>
    </row>
    <row r="35" spans="1:17" ht="15.75" customHeight="1" x14ac:dyDescent="0.3">
      <c r="A35" s="20" t="s">
        <v>41</v>
      </c>
      <c r="B35" s="21" t="s">
        <v>44</v>
      </c>
      <c r="C35" s="77">
        <v>156760706</v>
      </c>
      <c r="D35" s="22">
        <v>0</v>
      </c>
      <c r="E35" s="22">
        <v>0</v>
      </c>
      <c r="F35" s="22">
        <v>59860951</v>
      </c>
      <c r="G35" s="22">
        <v>1047455</v>
      </c>
      <c r="H35" s="22">
        <v>3638123</v>
      </c>
      <c r="I35" s="22">
        <f t="shared" si="0"/>
        <v>64546529</v>
      </c>
      <c r="J35" s="22">
        <v>21100150</v>
      </c>
      <c r="K35" s="22">
        <f t="shared" si="1"/>
        <v>85646679</v>
      </c>
      <c r="L35" s="78">
        <v>0.48070000000000002</v>
      </c>
      <c r="M35" s="65">
        <v>0.59243602922498906</v>
      </c>
      <c r="N35" s="65">
        <v>1.4388177279237728</v>
      </c>
      <c r="O35" s="79">
        <f t="shared" si="2"/>
        <v>2.0312537571487619</v>
      </c>
      <c r="P35" s="65">
        <v>0.67150903569934595</v>
      </c>
      <c r="Q35" s="80">
        <f t="shared" si="3"/>
        <v>2.7027627928481079</v>
      </c>
    </row>
    <row r="36" spans="1:17" ht="15.75" customHeight="1" x14ac:dyDescent="0.3">
      <c r="A36" s="20" t="s">
        <v>41</v>
      </c>
      <c r="B36" s="21" t="s">
        <v>74</v>
      </c>
      <c r="C36" s="77">
        <v>17659563</v>
      </c>
      <c r="D36" s="22">
        <v>8649578</v>
      </c>
      <c r="E36" s="22">
        <v>0</v>
      </c>
      <c r="F36" s="22">
        <v>13788736</v>
      </c>
      <c r="G36" s="22">
        <v>168292</v>
      </c>
      <c r="H36" s="22">
        <v>628778</v>
      </c>
      <c r="I36" s="22">
        <f t="shared" si="0"/>
        <v>14585806</v>
      </c>
      <c r="J36" s="22">
        <v>4015513</v>
      </c>
      <c r="K36" s="22">
        <f t="shared" si="1"/>
        <v>18601319</v>
      </c>
      <c r="L36" s="78">
        <v>0.89060000000000006</v>
      </c>
      <c r="M36" s="65">
        <v>0.77187774083316352</v>
      </c>
      <c r="N36" s="65">
        <v>1.3922741272125214</v>
      </c>
      <c r="O36" s="79">
        <f t="shared" si="2"/>
        <v>2.164151868045685</v>
      </c>
      <c r="P36" s="65">
        <v>0.67304769290403554</v>
      </c>
      <c r="Q36" s="80">
        <f t="shared" si="3"/>
        <v>2.8371995609497205</v>
      </c>
    </row>
    <row r="37" spans="1:17" ht="15.75" customHeight="1" x14ac:dyDescent="0.3">
      <c r="A37" s="20" t="s">
        <v>45</v>
      </c>
      <c r="B37" s="21" t="s">
        <v>75</v>
      </c>
      <c r="C37" s="77">
        <v>0</v>
      </c>
      <c r="D37" s="22">
        <v>132397672</v>
      </c>
      <c r="E37" s="22">
        <v>0</v>
      </c>
      <c r="F37" s="22">
        <v>22005035.620000001</v>
      </c>
      <c r="G37" s="22">
        <v>0</v>
      </c>
      <c r="H37" s="22">
        <v>0</v>
      </c>
      <c r="I37" s="22">
        <f t="shared" si="0"/>
        <v>22005035.620000001</v>
      </c>
      <c r="J37" s="22">
        <v>21254825.170000002</v>
      </c>
      <c r="K37" s="22">
        <f t="shared" si="1"/>
        <v>43259860.790000007</v>
      </c>
      <c r="L37" s="78">
        <v>0.96360000000000001</v>
      </c>
      <c r="M37" s="65">
        <v>0.22963630835566837</v>
      </c>
      <c r="N37" s="65">
        <v>1.3816525070894041</v>
      </c>
      <c r="O37" s="79">
        <f t="shared" si="2"/>
        <v>1.6112888154450724</v>
      </c>
      <c r="P37" s="65">
        <v>0.38773217084657469</v>
      </c>
      <c r="Q37" s="80">
        <f t="shared" si="3"/>
        <v>1.999020986291647</v>
      </c>
    </row>
    <row r="38" spans="1:17" ht="15.75" customHeight="1" x14ac:dyDescent="0.3">
      <c r="A38" s="20" t="s">
        <v>45</v>
      </c>
      <c r="B38" s="21" t="s">
        <v>46</v>
      </c>
      <c r="C38" s="77">
        <v>151105752</v>
      </c>
      <c r="D38" s="22">
        <v>0</v>
      </c>
      <c r="E38" s="22">
        <v>0</v>
      </c>
      <c r="F38" s="22">
        <v>35136502</v>
      </c>
      <c r="G38" s="22">
        <v>5305699</v>
      </c>
      <c r="H38" s="22">
        <v>3561968</v>
      </c>
      <c r="I38" s="22">
        <f t="shared" si="0"/>
        <v>44004169</v>
      </c>
      <c r="J38" s="22">
        <v>24133725.189999998</v>
      </c>
      <c r="K38" s="22">
        <f t="shared" si="1"/>
        <v>68137894.189999998</v>
      </c>
      <c r="L38" s="78">
        <v>0.93220000000000003</v>
      </c>
      <c r="M38" s="65">
        <v>0.36608108250521071</v>
      </c>
      <c r="N38" s="65">
        <v>1.2570844654497146</v>
      </c>
      <c r="O38" s="79">
        <f t="shared" si="2"/>
        <v>1.6231655479549254</v>
      </c>
      <c r="P38" s="65">
        <v>0.30650451514860466</v>
      </c>
      <c r="Q38" s="80">
        <f t="shared" si="3"/>
        <v>1.9296700631035302</v>
      </c>
    </row>
    <row r="39" spans="1:17" ht="15.75" customHeight="1" x14ac:dyDescent="0.3">
      <c r="A39" s="20" t="s">
        <v>45</v>
      </c>
      <c r="B39" s="21" t="s">
        <v>47</v>
      </c>
      <c r="C39" s="77">
        <v>15656016</v>
      </c>
      <c r="D39" s="22">
        <v>0</v>
      </c>
      <c r="E39" s="22">
        <v>0</v>
      </c>
      <c r="F39" s="22">
        <v>9542787.1500000004</v>
      </c>
      <c r="G39" s="22">
        <v>0</v>
      </c>
      <c r="H39" s="22">
        <v>0</v>
      </c>
      <c r="I39" s="22">
        <f t="shared" si="0"/>
        <v>9542787.1500000004</v>
      </c>
      <c r="J39" s="22">
        <v>4573700.76</v>
      </c>
      <c r="K39" s="22">
        <f t="shared" si="1"/>
        <v>14116487.91</v>
      </c>
      <c r="L39" s="78">
        <v>0.96150000000000002</v>
      </c>
      <c r="M39" s="65">
        <v>0.99913870082370937</v>
      </c>
      <c r="N39" s="65">
        <v>1.6391994540416011</v>
      </c>
      <c r="O39" s="79">
        <f t="shared" si="2"/>
        <v>2.6383381548653104</v>
      </c>
      <c r="P39" s="65">
        <v>0.38933975198064397</v>
      </c>
      <c r="Q39" s="80">
        <f t="shared" si="3"/>
        <v>3.0276779068459545</v>
      </c>
    </row>
    <row r="40" spans="1:17" ht="15.75" customHeight="1" x14ac:dyDescent="0.3">
      <c r="A40" s="20" t="s">
        <v>48</v>
      </c>
      <c r="B40" s="21" t="s">
        <v>49</v>
      </c>
      <c r="C40" s="77">
        <v>94215916</v>
      </c>
      <c r="D40" s="22">
        <v>0</v>
      </c>
      <c r="E40" s="22">
        <v>0</v>
      </c>
      <c r="F40" s="22">
        <v>60496150.259999998</v>
      </c>
      <c r="G40" s="22">
        <v>0</v>
      </c>
      <c r="H40" s="22">
        <v>2090954.84</v>
      </c>
      <c r="I40" s="22">
        <f t="shared" si="0"/>
        <v>62587105.100000001</v>
      </c>
      <c r="J40" s="22">
        <v>47864229.590000004</v>
      </c>
      <c r="K40" s="22">
        <f t="shared" si="1"/>
        <v>110451334.69</v>
      </c>
      <c r="L40" s="78">
        <v>0.40360000000000001</v>
      </c>
      <c r="M40" s="65">
        <v>0.92657137000969703</v>
      </c>
      <c r="N40" s="65">
        <v>1.394820390324117</v>
      </c>
      <c r="O40" s="79">
        <f t="shared" si="2"/>
        <v>2.3213917603338139</v>
      </c>
      <c r="P40" s="65">
        <v>0.46963217199789659</v>
      </c>
      <c r="Q40" s="80">
        <f t="shared" si="3"/>
        <v>2.7910239323317105</v>
      </c>
    </row>
    <row r="41" spans="1:17" ht="15.75" customHeight="1" x14ac:dyDescent="0.3">
      <c r="A41" s="20" t="s">
        <v>48</v>
      </c>
      <c r="B41" s="21" t="s">
        <v>50</v>
      </c>
      <c r="C41" s="77">
        <v>45342308</v>
      </c>
      <c r="D41" s="22">
        <v>0</v>
      </c>
      <c r="E41" s="22">
        <v>0</v>
      </c>
      <c r="F41" s="22">
        <v>37995062</v>
      </c>
      <c r="G41" s="22">
        <v>0</v>
      </c>
      <c r="H41" s="22">
        <v>988596</v>
      </c>
      <c r="I41" s="22">
        <f t="shared" si="0"/>
        <v>38983658</v>
      </c>
      <c r="J41" s="22">
        <v>17756074</v>
      </c>
      <c r="K41" s="22">
        <f t="shared" si="1"/>
        <v>56739732</v>
      </c>
      <c r="L41" s="78">
        <v>0.49130000000000001</v>
      </c>
      <c r="M41" s="65">
        <v>1.3339360287845938</v>
      </c>
      <c r="N41" s="65">
        <v>1.5515152084867951</v>
      </c>
      <c r="O41" s="79">
        <f t="shared" si="2"/>
        <v>2.885451237271389</v>
      </c>
      <c r="P41" s="65">
        <v>0.51667545598293485</v>
      </c>
      <c r="Q41" s="80">
        <f t="shared" si="3"/>
        <v>3.4021266932543237</v>
      </c>
    </row>
    <row r="42" spans="1:17" ht="15.75" customHeight="1" x14ac:dyDescent="0.3">
      <c r="A42" s="28" t="s">
        <v>76</v>
      </c>
      <c r="B42" s="29" t="s">
        <v>77</v>
      </c>
      <c r="C42" s="30">
        <v>6255541</v>
      </c>
      <c r="D42" s="31">
        <v>0</v>
      </c>
      <c r="E42" s="31">
        <v>0</v>
      </c>
      <c r="F42" s="31">
        <v>1519682.31</v>
      </c>
      <c r="G42" s="31">
        <v>96359.97</v>
      </c>
      <c r="H42" s="31">
        <v>0</v>
      </c>
      <c r="I42" s="31">
        <f t="shared" si="0"/>
        <v>1616042.28</v>
      </c>
      <c r="J42" s="31">
        <v>1961395.29</v>
      </c>
      <c r="K42" s="31">
        <f t="shared" si="1"/>
        <v>3577437.5700000003</v>
      </c>
      <c r="L42" s="81">
        <v>0.8498</v>
      </c>
      <c r="M42" s="69">
        <v>0.28692218993633078</v>
      </c>
      <c r="N42" s="69">
        <v>1.1106476267171084</v>
      </c>
      <c r="O42" s="82">
        <f t="shared" si="2"/>
        <v>1.3975698166534392</v>
      </c>
      <c r="P42" s="69">
        <v>0.68017696066748567</v>
      </c>
      <c r="Q42" s="83">
        <f t="shared" si="3"/>
        <v>2.0777467773209248</v>
      </c>
    </row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B3"/>
    <mergeCell ref="C3:K3"/>
    <mergeCell ref="L3:Q3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00"/>
  <sheetViews>
    <sheetView zoomScale="85" zoomScaleNormal="85" workbookViewId="0"/>
  </sheetViews>
  <sheetFormatPr defaultColWidth="14.42578125" defaultRowHeight="15" customHeight="1" x14ac:dyDescent="0.25"/>
  <cols>
    <col min="1" max="2" width="20.7109375" customWidth="1"/>
    <col min="3" max="25" width="15.7109375" customWidth="1"/>
    <col min="26" max="27" width="8.85546875" customWidth="1"/>
  </cols>
  <sheetData>
    <row r="1" spans="1:27" x14ac:dyDescent="0.25">
      <c r="A1" s="1" t="s">
        <v>161</v>
      </c>
    </row>
    <row r="2" spans="1:27" x14ac:dyDescent="0.25">
      <c r="C2" s="8"/>
      <c r="D2" s="8"/>
      <c r="E2" s="8"/>
    </row>
    <row r="3" spans="1:27" ht="31.5" customHeight="1" x14ac:dyDescent="0.25">
      <c r="A3" s="220" t="s">
        <v>98</v>
      </c>
      <c r="B3" s="209"/>
      <c r="C3" s="220" t="s">
        <v>162</v>
      </c>
      <c r="D3" s="221"/>
      <c r="E3" s="221"/>
      <c r="F3" s="221"/>
      <c r="G3" s="221"/>
      <c r="H3" s="209"/>
      <c r="I3" s="220" t="s">
        <v>163</v>
      </c>
      <c r="J3" s="221"/>
      <c r="K3" s="221"/>
      <c r="L3" s="221"/>
      <c r="M3" s="221"/>
      <c r="N3" s="209"/>
      <c r="O3" s="208" t="s">
        <v>164</v>
      </c>
      <c r="P3" s="209"/>
      <c r="Q3" s="84"/>
      <c r="R3" s="220" t="s">
        <v>165</v>
      </c>
      <c r="S3" s="221"/>
      <c r="T3" s="221"/>
      <c r="U3" s="221"/>
      <c r="V3" s="221"/>
      <c r="W3" s="221"/>
      <c r="X3" s="221"/>
      <c r="Y3" s="209"/>
    </row>
    <row r="4" spans="1:27" ht="64.5" customHeight="1" x14ac:dyDescent="0.25">
      <c r="A4" s="11" t="s">
        <v>8</v>
      </c>
      <c r="B4" s="16" t="s">
        <v>9</v>
      </c>
      <c r="C4" s="11" t="s">
        <v>166</v>
      </c>
      <c r="D4" s="12" t="s">
        <v>167</v>
      </c>
      <c r="E4" s="12" t="s">
        <v>168</v>
      </c>
      <c r="F4" s="12" t="s">
        <v>169</v>
      </c>
      <c r="G4" s="12" t="s">
        <v>170</v>
      </c>
      <c r="H4" s="16" t="s">
        <v>171</v>
      </c>
      <c r="I4" s="11" t="s">
        <v>172</v>
      </c>
      <c r="J4" s="12" t="s">
        <v>173</v>
      </c>
      <c r="K4" s="12" t="s">
        <v>174</v>
      </c>
      <c r="L4" s="12" t="s">
        <v>175</v>
      </c>
      <c r="M4" s="12" t="s">
        <v>176</v>
      </c>
      <c r="N4" s="16" t="s">
        <v>177</v>
      </c>
      <c r="O4" s="11" t="s">
        <v>178</v>
      </c>
      <c r="P4" s="16" t="s">
        <v>179</v>
      </c>
      <c r="Q4" s="85"/>
      <c r="R4" s="11" t="s">
        <v>180</v>
      </c>
      <c r="S4" s="12" t="s">
        <v>181</v>
      </c>
      <c r="T4" s="12" t="s">
        <v>182</v>
      </c>
      <c r="U4" s="12" t="s">
        <v>183</v>
      </c>
      <c r="V4" s="12" t="s">
        <v>184</v>
      </c>
      <c r="W4" s="12" t="s">
        <v>185</v>
      </c>
      <c r="X4" s="12" t="s">
        <v>186</v>
      </c>
      <c r="Y4" s="16" t="s">
        <v>187</v>
      </c>
    </row>
    <row r="5" spans="1:27" ht="16.5" x14ac:dyDescent="0.3">
      <c r="A5" s="20" t="s">
        <v>25</v>
      </c>
      <c r="B5" s="21" t="s">
        <v>26</v>
      </c>
      <c r="C5" s="47">
        <v>5077</v>
      </c>
      <c r="D5" s="22">
        <v>513071000</v>
      </c>
      <c r="E5" s="48">
        <v>22</v>
      </c>
      <c r="F5" s="22">
        <v>56280600</v>
      </c>
      <c r="G5" s="86">
        <f t="shared" ref="G5:H5" si="0">C5+E5</f>
        <v>5099</v>
      </c>
      <c r="H5" s="26">
        <f t="shared" si="0"/>
        <v>569351600</v>
      </c>
      <c r="I5" s="47">
        <v>352</v>
      </c>
      <c r="J5" s="22">
        <v>148285500</v>
      </c>
      <c r="K5" s="48">
        <v>81</v>
      </c>
      <c r="L5" s="22">
        <v>61215100</v>
      </c>
      <c r="M5" s="87">
        <f t="shared" ref="M5:N5" si="1">I5+K5</f>
        <v>433</v>
      </c>
      <c r="N5" s="26">
        <f t="shared" si="1"/>
        <v>209500600</v>
      </c>
      <c r="O5" s="88">
        <f t="shared" ref="O5:P5" si="2">G5+M5</f>
        <v>5532</v>
      </c>
      <c r="P5" s="26">
        <f t="shared" si="2"/>
        <v>778852200</v>
      </c>
      <c r="Q5" s="89"/>
      <c r="R5" s="47">
        <v>0</v>
      </c>
      <c r="S5" s="22">
        <v>0</v>
      </c>
      <c r="T5" s="48">
        <v>0</v>
      </c>
      <c r="U5" s="22">
        <v>0</v>
      </c>
      <c r="V5" s="48">
        <v>446</v>
      </c>
      <c r="W5" s="22">
        <v>19557500</v>
      </c>
      <c r="X5" s="48">
        <f t="shared" ref="X5:Y5" si="3">R5+T5+V5</f>
        <v>446</v>
      </c>
      <c r="Y5" s="26">
        <f t="shared" si="3"/>
        <v>19557500</v>
      </c>
      <c r="AA5" s="50"/>
    </row>
    <row r="6" spans="1:27" ht="16.5" x14ac:dyDescent="0.3">
      <c r="A6" s="20" t="s">
        <v>27</v>
      </c>
      <c r="B6" s="21" t="s">
        <v>54</v>
      </c>
      <c r="C6" s="47">
        <v>3308</v>
      </c>
      <c r="D6" s="22">
        <v>1563453300</v>
      </c>
      <c r="E6" s="48">
        <v>4</v>
      </c>
      <c r="F6" s="22">
        <v>7119700</v>
      </c>
      <c r="G6" s="86">
        <f t="shared" ref="G6:H6" si="4">C6+E6</f>
        <v>3312</v>
      </c>
      <c r="H6" s="26">
        <f t="shared" si="4"/>
        <v>1570573000</v>
      </c>
      <c r="I6" s="47">
        <v>98</v>
      </c>
      <c r="J6" s="22">
        <v>97111900</v>
      </c>
      <c r="K6" s="48">
        <v>12</v>
      </c>
      <c r="L6" s="22">
        <v>11944100</v>
      </c>
      <c r="M6" s="87">
        <f t="shared" ref="M6:N6" si="5">I6+K6</f>
        <v>110</v>
      </c>
      <c r="N6" s="26">
        <f t="shared" si="5"/>
        <v>109056000</v>
      </c>
      <c r="O6" s="88">
        <f t="shared" ref="O6:P6" si="6">G6+M6</f>
        <v>3422</v>
      </c>
      <c r="P6" s="26">
        <f t="shared" si="6"/>
        <v>1679629000</v>
      </c>
      <c r="Q6" s="89"/>
      <c r="R6" s="47">
        <v>2</v>
      </c>
      <c r="S6" s="22">
        <v>621800</v>
      </c>
      <c r="T6" s="48">
        <v>2</v>
      </c>
      <c r="U6" s="22">
        <v>12200</v>
      </c>
      <c r="V6" s="48">
        <v>72</v>
      </c>
      <c r="W6" s="22">
        <v>11070200</v>
      </c>
      <c r="X6" s="48">
        <f t="shared" ref="X6:Y6" si="7">R6+T6+V6</f>
        <v>76</v>
      </c>
      <c r="Y6" s="26">
        <f t="shared" si="7"/>
        <v>11704200</v>
      </c>
      <c r="AA6" s="50"/>
    </row>
    <row r="7" spans="1:27" ht="16.5" x14ac:dyDescent="0.3">
      <c r="A7" s="20" t="s">
        <v>27</v>
      </c>
      <c r="B7" s="21" t="s">
        <v>28</v>
      </c>
      <c r="C7" s="47">
        <v>4159</v>
      </c>
      <c r="D7" s="22">
        <v>1368677100</v>
      </c>
      <c r="E7" s="48">
        <v>19</v>
      </c>
      <c r="F7" s="22">
        <v>133120700</v>
      </c>
      <c r="G7" s="86">
        <f t="shared" ref="G7:H7" si="8">C7+E7</f>
        <v>4178</v>
      </c>
      <c r="H7" s="26">
        <f t="shared" si="8"/>
        <v>1501797800</v>
      </c>
      <c r="I7" s="47">
        <v>77</v>
      </c>
      <c r="J7" s="22">
        <v>84637100</v>
      </c>
      <c r="K7" s="48">
        <v>2</v>
      </c>
      <c r="L7" s="22">
        <v>3892300</v>
      </c>
      <c r="M7" s="87">
        <f t="shared" ref="M7:N7" si="9">I7+K7</f>
        <v>79</v>
      </c>
      <c r="N7" s="26">
        <f t="shared" si="9"/>
        <v>88529400</v>
      </c>
      <c r="O7" s="88">
        <f t="shared" ref="O7:P7" si="10">G7+M7</f>
        <v>4257</v>
      </c>
      <c r="P7" s="26">
        <f t="shared" si="10"/>
        <v>1590327200</v>
      </c>
      <c r="Q7" s="89"/>
      <c r="R7" s="47">
        <v>0</v>
      </c>
      <c r="S7" s="22">
        <v>0</v>
      </c>
      <c r="T7" s="48">
        <v>0</v>
      </c>
      <c r="U7" s="22">
        <v>0</v>
      </c>
      <c r="V7" s="48">
        <v>31</v>
      </c>
      <c r="W7" s="22">
        <v>2530500</v>
      </c>
      <c r="X7" s="48">
        <f t="shared" ref="X7:Y7" si="11">R7+T7+V7</f>
        <v>31</v>
      </c>
      <c r="Y7" s="26">
        <f t="shared" si="11"/>
        <v>2530500</v>
      </c>
      <c r="AA7" s="50"/>
    </row>
    <row r="8" spans="1:27" ht="16.5" x14ac:dyDescent="0.3">
      <c r="A8" s="20" t="s">
        <v>27</v>
      </c>
      <c r="B8" s="21" t="s">
        <v>55</v>
      </c>
      <c r="C8" s="47">
        <v>4393</v>
      </c>
      <c r="D8" s="22">
        <v>1818460300</v>
      </c>
      <c r="E8" s="48">
        <v>1</v>
      </c>
      <c r="F8" s="22">
        <v>427200</v>
      </c>
      <c r="G8" s="86">
        <f t="shared" ref="G8:H8" si="12">C8+E8</f>
        <v>4394</v>
      </c>
      <c r="H8" s="26">
        <f t="shared" si="12"/>
        <v>1818887500</v>
      </c>
      <c r="I8" s="47">
        <v>139</v>
      </c>
      <c r="J8" s="22">
        <v>166497243</v>
      </c>
      <c r="K8" s="48">
        <v>60</v>
      </c>
      <c r="L8" s="22">
        <v>163703800</v>
      </c>
      <c r="M8" s="87">
        <f t="shared" ref="M8:N8" si="13">I8+K8</f>
        <v>199</v>
      </c>
      <c r="N8" s="26">
        <f t="shared" si="13"/>
        <v>330201043</v>
      </c>
      <c r="O8" s="88">
        <f t="shared" ref="O8:P8" si="14">G8+M8</f>
        <v>4593</v>
      </c>
      <c r="P8" s="26">
        <f t="shared" si="14"/>
        <v>2149088543</v>
      </c>
      <c r="Q8" s="89"/>
      <c r="R8" s="47">
        <v>4</v>
      </c>
      <c r="S8" s="22">
        <v>2885500</v>
      </c>
      <c r="T8" s="48">
        <v>12</v>
      </c>
      <c r="U8" s="22">
        <v>41300</v>
      </c>
      <c r="V8" s="48">
        <v>173</v>
      </c>
      <c r="W8" s="22">
        <v>23267600</v>
      </c>
      <c r="X8" s="48">
        <f t="shared" ref="X8:Y8" si="15">R8+T8+V8</f>
        <v>189</v>
      </c>
      <c r="Y8" s="26">
        <f t="shared" si="15"/>
        <v>26194400</v>
      </c>
      <c r="AA8" s="50"/>
    </row>
    <row r="9" spans="1:27" ht="16.5" x14ac:dyDescent="0.3">
      <c r="A9" s="20" t="s">
        <v>27</v>
      </c>
      <c r="B9" s="21" t="s">
        <v>56</v>
      </c>
      <c r="C9" s="47">
        <v>3107</v>
      </c>
      <c r="D9" s="22">
        <v>1346479700</v>
      </c>
      <c r="E9" s="48">
        <v>30</v>
      </c>
      <c r="F9" s="22">
        <v>173509900</v>
      </c>
      <c r="G9" s="86">
        <f t="shared" ref="G9:H9" si="16">C9+E9</f>
        <v>3137</v>
      </c>
      <c r="H9" s="26">
        <f t="shared" si="16"/>
        <v>1519989600</v>
      </c>
      <c r="I9" s="47">
        <v>241</v>
      </c>
      <c r="J9" s="22">
        <v>440149700</v>
      </c>
      <c r="K9" s="48">
        <v>34</v>
      </c>
      <c r="L9" s="22">
        <v>51700400</v>
      </c>
      <c r="M9" s="87">
        <f t="shared" ref="M9:N9" si="17">I9+K9</f>
        <v>275</v>
      </c>
      <c r="N9" s="26">
        <f t="shared" si="17"/>
        <v>491850100</v>
      </c>
      <c r="O9" s="88">
        <f t="shared" ref="O9:P9" si="18">G9+M9</f>
        <v>3412</v>
      </c>
      <c r="P9" s="26">
        <f t="shared" si="18"/>
        <v>2011839700</v>
      </c>
      <c r="Q9" s="89"/>
      <c r="R9" s="47">
        <v>0</v>
      </c>
      <c r="S9" s="22">
        <v>0</v>
      </c>
      <c r="T9" s="48">
        <v>0</v>
      </c>
      <c r="U9" s="22">
        <v>0</v>
      </c>
      <c r="V9" s="48">
        <v>65</v>
      </c>
      <c r="W9" s="22">
        <v>5028600</v>
      </c>
      <c r="X9" s="48">
        <f t="shared" ref="X9:Y9" si="19">R9+T9+V9</f>
        <v>65</v>
      </c>
      <c r="Y9" s="26">
        <f t="shared" si="19"/>
        <v>5028600</v>
      </c>
      <c r="AA9" s="50"/>
    </row>
    <row r="10" spans="1:27" ht="16.5" x14ac:dyDescent="0.3">
      <c r="A10" s="20" t="s">
        <v>57</v>
      </c>
      <c r="B10" s="21" t="s">
        <v>58</v>
      </c>
      <c r="C10" s="47">
        <v>3727</v>
      </c>
      <c r="D10" s="22">
        <v>1116587800</v>
      </c>
      <c r="E10" s="48">
        <v>8</v>
      </c>
      <c r="F10" s="22">
        <v>29091200</v>
      </c>
      <c r="G10" s="86">
        <f t="shared" ref="G10:H10" si="20">C10+E10</f>
        <v>3735</v>
      </c>
      <c r="H10" s="26">
        <f t="shared" si="20"/>
        <v>1145679000</v>
      </c>
      <c r="I10" s="47">
        <v>139</v>
      </c>
      <c r="J10" s="22">
        <v>133073500</v>
      </c>
      <c r="K10" s="48">
        <v>15</v>
      </c>
      <c r="L10" s="22">
        <v>64337623</v>
      </c>
      <c r="M10" s="87">
        <f t="shared" ref="M10:N10" si="21">I10+K10</f>
        <v>154</v>
      </c>
      <c r="N10" s="26">
        <f t="shared" si="21"/>
        <v>197411123</v>
      </c>
      <c r="O10" s="88">
        <f t="shared" ref="O10:P10" si="22">G10+M10</f>
        <v>3889</v>
      </c>
      <c r="P10" s="26">
        <f t="shared" si="22"/>
        <v>1343090123</v>
      </c>
      <c r="Q10" s="89"/>
      <c r="R10" s="47">
        <v>50</v>
      </c>
      <c r="S10" s="22">
        <v>20496900</v>
      </c>
      <c r="T10" s="48">
        <v>105</v>
      </c>
      <c r="U10" s="22">
        <v>1678900</v>
      </c>
      <c r="V10" s="48">
        <v>105</v>
      </c>
      <c r="W10" s="22">
        <v>14047900</v>
      </c>
      <c r="X10" s="48">
        <f t="shared" ref="X10:Y10" si="23">R10+T10+V10</f>
        <v>260</v>
      </c>
      <c r="Y10" s="26">
        <f t="shared" si="23"/>
        <v>36223700</v>
      </c>
      <c r="AA10" s="50"/>
    </row>
    <row r="11" spans="1:27" ht="16.5" x14ac:dyDescent="0.3">
      <c r="A11" s="20" t="s">
        <v>57</v>
      </c>
      <c r="B11" s="21" t="s">
        <v>59</v>
      </c>
      <c r="C11" s="47">
        <v>8218</v>
      </c>
      <c r="D11" s="22">
        <v>2675055000</v>
      </c>
      <c r="E11" s="48">
        <v>7</v>
      </c>
      <c r="F11" s="22">
        <v>54658000</v>
      </c>
      <c r="G11" s="86">
        <f t="shared" ref="G11:H11" si="24">C11+E11</f>
        <v>8225</v>
      </c>
      <c r="H11" s="26">
        <f t="shared" si="24"/>
        <v>2729713000</v>
      </c>
      <c r="I11" s="47">
        <v>346</v>
      </c>
      <c r="J11" s="22">
        <v>247922900</v>
      </c>
      <c r="K11" s="48">
        <v>10</v>
      </c>
      <c r="L11" s="22">
        <v>12772700</v>
      </c>
      <c r="M11" s="87">
        <f t="shared" ref="M11:N11" si="25">I11+K11</f>
        <v>356</v>
      </c>
      <c r="N11" s="26">
        <f t="shared" si="25"/>
        <v>260695600</v>
      </c>
      <c r="O11" s="88">
        <f t="shared" ref="O11:P11" si="26">G11+M11</f>
        <v>8581</v>
      </c>
      <c r="P11" s="26">
        <f t="shared" si="26"/>
        <v>2990408600</v>
      </c>
      <c r="Q11" s="89"/>
      <c r="R11" s="47">
        <v>75</v>
      </c>
      <c r="S11" s="22">
        <v>31574400</v>
      </c>
      <c r="T11" s="48">
        <v>148</v>
      </c>
      <c r="U11" s="22">
        <v>1910800</v>
      </c>
      <c r="V11" s="48">
        <v>573</v>
      </c>
      <c r="W11" s="22">
        <v>16868100</v>
      </c>
      <c r="X11" s="48">
        <f t="shared" ref="X11:Y11" si="27">R11+T11+V11</f>
        <v>796</v>
      </c>
      <c r="Y11" s="26">
        <f t="shared" si="27"/>
        <v>50353300</v>
      </c>
      <c r="AA11" s="50"/>
    </row>
    <row r="12" spans="1:27" ht="16.5" x14ac:dyDescent="0.3">
      <c r="A12" s="20" t="s">
        <v>57</v>
      </c>
      <c r="B12" s="21" t="s">
        <v>60</v>
      </c>
      <c r="C12" s="47">
        <v>7954</v>
      </c>
      <c r="D12" s="22">
        <v>1305249900</v>
      </c>
      <c r="E12" s="48">
        <v>15</v>
      </c>
      <c r="F12" s="22">
        <v>35444600</v>
      </c>
      <c r="G12" s="86">
        <f t="shared" ref="G12:H12" si="28">C12+E12</f>
        <v>7969</v>
      </c>
      <c r="H12" s="26">
        <f t="shared" si="28"/>
        <v>1340694500</v>
      </c>
      <c r="I12" s="47">
        <v>145</v>
      </c>
      <c r="J12" s="22">
        <v>91356900</v>
      </c>
      <c r="K12" s="48">
        <v>7</v>
      </c>
      <c r="L12" s="22">
        <v>4474300</v>
      </c>
      <c r="M12" s="87">
        <f t="shared" ref="M12:N12" si="29">I12+K12</f>
        <v>152</v>
      </c>
      <c r="N12" s="26">
        <f t="shared" si="29"/>
        <v>95831200</v>
      </c>
      <c r="O12" s="88">
        <f t="shared" ref="O12:P12" si="30">G12+M12</f>
        <v>8121</v>
      </c>
      <c r="P12" s="26">
        <f t="shared" si="30"/>
        <v>1436525700</v>
      </c>
      <c r="Q12" s="89"/>
      <c r="R12" s="47">
        <v>109</v>
      </c>
      <c r="S12" s="22">
        <v>22485000</v>
      </c>
      <c r="T12" s="48">
        <v>226</v>
      </c>
      <c r="U12" s="22">
        <v>4406600</v>
      </c>
      <c r="V12" s="48">
        <v>2245</v>
      </c>
      <c r="W12" s="22">
        <v>22051400</v>
      </c>
      <c r="X12" s="48">
        <f t="shared" ref="X12:Y12" si="31">R12+T12+V12</f>
        <v>2580</v>
      </c>
      <c r="Y12" s="26">
        <f t="shared" si="31"/>
        <v>48943000</v>
      </c>
      <c r="AA12" s="50"/>
    </row>
    <row r="13" spans="1:27" ht="16.5" x14ac:dyDescent="0.3">
      <c r="A13" s="20" t="s">
        <v>57</v>
      </c>
      <c r="B13" s="21" t="s">
        <v>61</v>
      </c>
      <c r="C13" s="47">
        <v>4427</v>
      </c>
      <c r="D13" s="22">
        <v>835606600</v>
      </c>
      <c r="E13" s="48">
        <v>0</v>
      </c>
      <c r="F13" s="22">
        <v>0</v>
      </c>
      <c r="G13" s="86">
        <f t="shared" ref="G13:H13" si="32">C13+E13</f>
        <v>4427</v>
      </c>
      <c r="H13" s="26">
        <f t="shared" si="32"/>
        <v>835606600</v>
      </c>
      <c r="I13" s="47">
        <v>159</v>
      </c>
      <c r="J13" s="22">
        <v>80353000</v>
      </c>
      <c r="K13" s="48">
        <v>23</v>
      </c>
      <c r="L13" s="22">
        <v>10606500</v>
      </c>
      <c r="M13" s="87">
        <f t="shared" ref="M13:N13" si="33">I13+K13</f>
        <v>182</v>
      </c>
      <c r="N13" s="26">
        <f t="shared" si="33"/>
        <v>90959500</v>
      </c>
      <c r="O13" s="88">
        <f t="shared" ref="O13:P13" si="34">G13+M13</f>
        <v>4609</v>
      </c>
      <c r="P13" s="26">
        <f t="shared" si="34"/>
        <v>926566100</v>
      </c>
      <c r="Q13" s="89"/>
      <c r="R13" s="47">
        <v>167</v>
      </c>
      <c r="S13" s="22">
        <v>47754500</v>
      </c>
      <c r="T13" s="48">
        <v>318</v>
      </c>
      <c r="U13" s="22">
        <v>6562200</v>
      </c>
      <c r="V13" s="48">
        <v>469</v>
      </c>
      <c r="W13" s="22">
        <v>12963900</v>
      </c>
      <c r="X13" s="48">
        <f t="shared" ref="X13:Y13" si="35">R13+T13+V13</f>
        <v>954</v>
      </c>
      <c r="Y13" s="26">
        <f t="shared" si="35"/>
        <v>67280600</v>
      </c>
      <c r="AA13" s="50"/>
    </row>
    <row r="14" spans="1:27" ht="16.5" x14ac:dyDescent="0.3">
      <c r="A14" s="20" t="s">
        <v>62</v>
      </c>
      <c r="B14" s="21" t="s">
        <v>63</v>
      </c>
      <c r="C14" s="47">
        <v>956</v>
      </c>
      <c r="D14" s="22">
        <v>141922600</v>
      </c>
      <c r="E14" s="48">
        <v>0</v>
      </c>
      <c r="F14" s="22">
        <v>0</v>
      </c>
      <c r="G14" s="86">
        <f t="shared" ref="G14:H14" si="36">C14+E14</f>
        <v>956</v>
      </c>
      <c r="H14" s="26">
        <f t="shared" si="36"/>
        <v>141922600</v>
      </c>
      <c r="I14" s="47">
        <v>51</v>
      </c>
      <c r="J14" s="22">
        <v>6984500</v>
      </c>
      <c r="K14" s="48">
        <v>0</v>
      </c>
      <c r="L14" s="22">
        <v>0</v>
      </c>
      <c r="M14" s="87">
        <f t="shared" ref="M14:N14" si="37">I14+K14</f>
        <v>51</v>
      </c>
      <c r="N14" s="26">
        <f t="shared" si="37"/>
        <v>6984500</v>
      </c>
      <c r="O14" s="88">
        <f t="shared" ref="O14:P14" si="38">G14+M14</f>
        <v>1007</v>
      </c>
      <c r="P14" s="26">
        <f t="shared" si="38"/>
        <v>148907100</v>
      </c>
      <c r="Q14" s="89"/>
      <c r="R14" s="47">
        <v>27</v>
      </c>
      <c r="S14" s="22">
        <v>4966200</v>
      </c>
      <c r="T14" s="48">
        <v>141</v>
      </c>
      <c r="U14" s="22">
        <v>752000</v>
      </c>
      <c r="V14" s="48">
        <v>491</v>
      </c>
      <c r="W14" s="22">
        <v>10669000</v>
      </c>
      <c r="X14" s="48">
        <f t="shared" ref="X14:Y14" si="39">R14+T14+V14</f>
        <v>659</v>
      </c>
      <c r="Y14" s="26">
        <f t="shared" si="39"/>
        <v>16387200</v>
      </c>
      <c r="AA14" s="50"/>
    </row>
    <row r="15" spans="1:27" ht="16.5" x14ac:dyDescent="0.3">
      <c r="A15" s="20" t="s">
        <v>62</v>
      </c>
      <c r="B15" s="27" t="s">
        <v>64</v>
      </c>
      <c r="C15" s="47">
        <v>1598</v>
      </c>
      <c r="D15" s="22">
        <v>254421700</v>
      </c>
      <c r="E15" s="48">
        <v>1</v>
      </c>
      <c r="F15" s="22">
        <v>257900</v>
      </c>
      <c r="G15" s="86">
        <f t="shared" ref="G15:H15" si="40">C15+E15</f>
        <v>1599</v>
      </c>
      <c r="H15" s="26">
        <f t="shared" si="40"/>
        <v>254679600</v>
      </c>
      <c r="I15" s="47">
        <v>73</v>
      </c>
      <c r="J15" s="22">
        <v>26548200</v>
      </c>
      <c r="K15" s="48">
        <v>1</v>
      </c>
      <c r="L15" s="22">
        <v>1630200</v>
      </c>
      <c r="M15" s="87">
        <f t="shared" ref="M15:N15" si="41">I15+K15</f>
        <v>74</v>
      </c>
      <c r="N15" s="26">
        <f t="shared" si="41"/>
        <v>28178400</v>
      </c>
      <c r="O15" s="88">
        <f t="shared" ref="O15:P15" si="42">G15+M15</f>
        <v>1673</v>
      </c>
      <c r="P15" s="26">
        <f t="shared" si="42"/>
        <v>282858000</v>
      </c>
      <c r="Q15" s="89"/>
      <c r="R15" s="47">
        <v>42</v>
      </c>
      <c r="S15" s="22">
        <v>9806800</v>
      </c>
      <c r="T15" s="48">
        <v>125</v>
      </c>
      <c r="U15" s="22">
        <v>2682600</v>
      </c>
      <c r="V15" s="48">
        <v>658</v>
      </c>
      <c r="W15" s="22">
        <v>16180800</v>
      </c>
      <c r="X15" s="48">
        <f t="shared" ref="X15:Y15" si="43">R15+T15+V15</f>
        <v>825</v>
      </c>
      <c r="Y15" s="26">
        <f t="shared" si="43"/>
        <v>28670200</v>
      </c>
      <c r="AA15" s="50"/>
    </row>
    <row r="16" spans="1:27" ht="16.5" x14ac:dyDescent="0.3">
      <c r="A16" s="20" t="s">
        <v>62</v>
      </c>
      <c r="B16" s="21" t="s">
        <v>65</v>
      </c>
      <c r="C16" s="47">
        <v>1099</v>
      </c>
      <c r="D16" s="22">
        <v>186446100</v>
      </c>
      <c r="E16" s="48">
        <v>1</v>
      </c>
      <c r="F16" s="22">
        <v>290000</v>
      </c>
      <c r="G16" s="86">
        <f t="shared" ref="G16:H16" si="44">C16+E16</f>
        <v>1100</v>
      </c>
      <c r="H16" s="26">
        <f t="shared" si="44"/>
        <v>186736100</v>
      </c>
      <c r="I16" s="47">
        <v>36</v>
      </c>
      <c r="J16" s="22">
        <v>9751000</v>
      </c>
      <c r="K16" s="48">
        <v>2</v>
      </c>
      <c r="L16" s="22">
        <v>2950000</v>
      </c>
      <c r="M16" s="87">
        <f t="shared" ref="M16:N16" si="45">I16+K16</f>
        <v>38</v>
      </c>
      <c r="N16" s="26">
        <f t="shared" si="45"/>
        <v>12701000</v>
      </c>
      <c r="O16" s="88">
        <f t="shared" ref="O16:P16" si="46">G16+M16</f>
        <v>1138</v>
      </c>
      <c r="P16" s="26">
        <f t="shared" si="46"/>
        <v>199437100</v>
      </c>
      <c r="Q16" s="89"/>
      <c r="R16" s="47">
        <v>103</v>
      </c>
      <c r="S16" s="22">
        <v>17278100</v>
      </c>
      <c r="T16" s="48">
        <v>227</v>
      </c>
      <c r="U16" s="22">
        <v>2293400</v>
      </c>
      <c r="V16" s="48">
        <v>1489</v>
      </c>
      <c r="W16" s="22">
        <v>11231800</v>
      </c>
      <c r="X16" s="48">
        <f t="shared" ref="X16:Y16" si="47">R16+T16+V16</f>
        <v>1819</v>
      </c>
      <c r="Y16" s="26">
        <f t="shared" si="47"/>
        <v>30803300</v>
      </c>
      <c r="AA16" s="50"/>
    </row>
    <row r="17" spans="1:27" ht="16.5" x14ac:dyDescent="0.3">
      <c r="A17" s="20" t="s">
        <v>29</v>
      </c>
      <c r="B17" s="27" t="s">
        <v>64</v>
      </c>
      <c r="C17" s="47">
        <v>2583</v>
      </c>
      <c r="D17" s="22">
        <v>1366309500</v>
      </c>
      <c r="E17" s="48">
        <v>2</v>
      </c>
      <c r="F17" s="22">
        <v>31431100</v>
      </c>
      <c r="G17" s="86">
        <f t="shared" ref="G17:H17" si="48">C17+E17</f>
        <v>2585</v>
      </c>
      <c r="H17" s="26">
        <f t="shared" si="48"/>
        <v>1397740600</v>
      </c>
      <c r="I17" s="47">
        <v>404</v>
      </c>
      <c r="J17" s="22">
        <v>725211700</v>
      </c>
      <c r="K17" s="48">
        <v>287</v>
      </c>
      <c r="L17" s="22">
        <v>1024963100</v>
      </c>
      <c r="M17" s="87">
        <f t="shared" ref="M17:N17" si="49">I17+K17</f>
        <v>691</v>
      </c>
      <c r="N17" s="26">
        <f t="shared" si="49"/>
        <v>1750174800</v>
      </c>
      <c r="O17" s="88">
        <f t="shared" ref="O17:P17" si="50">G17+M17</f>
        <v>3276</v>
      </c>
      <c r="P17" s="26">
        <f t="shared" si="50"/>
        <v>3147915400</v>
      </c>
      <c r="Q17" s="89"/>
      <c r="R17" s="47">
        <v>1</v>
      </c>
      <c r="S17" s="22">
        <v>483200</v>
      </c>
      <c r="T17" s="48">
        <v>2</v>
      </c>
      <c r="U17" s="22">
        <v>14300</v>
      </c>
      <c r="V17" s="48">
        <v>175</v>
      </c>
      <c r="W17" s="22">
        <v>43294400</v>
      </c>
      <c r="X17" s="48">
        <f t="shared" ref="X17:Y17" si="51">R17+T17+V17</f>
        <v>178</v>
      </c>
      <c r="Y17" s="26">
        <f t="shared" si="51"/>
        <v>43791900</v>
      </c>
      <c r="AA17" s="50"/>
    </row>
    <row r="18" spans="1:27" ht="16.5" x14ac:dyDescent="0.3">
      <c r="A18" s="20" t="s">
        <v>29</v>
      </c>
      <c r="B18" s="21" t="s">
        <v>30</v>
      </c>
      <c r="C18" s="47">
        <v>29914</v>
      </c>
      <c r="D18" s="22">
        <v>5346413800</v>
      </c>
      <c r="E18" s="48">
        <v>1233</v>
      </c>
      <c r="F18" s="22">
        <v>1028467500</v>
      </c>
      <c r="G18" s="86">
        <f t="shared" ref="G18:H18" si="52">C18+E18</f>
        <v>31147</v>
      </c>
      <c r="H18" s="26">
        <f t="shared" si="52"/>
        <v>6374881300</v>
      </c>
      <c r="I18" s="47">
        <v>4840</v>
      </c>
      <c r="J18" s="22">
        <v>4109982180</v>
      </c>
      <c r="K18" s="48">
        <v>1021</v>
      </c>
      <c r="L18" s="22">
        <v>1241164500</v>
      </c>
      <c r="M18" s="87">
        <f t="shared" ref="M18:N18" si="53">I18+K18</f>
        <v>5861</v>
      </c>
      <c r="N18" s="26">
        <f t="shared" si="53"/>
        <v>5351146680</v>
      </c>
      <c r="O18" s="88">
        <f t="shared" ref="O18:P18" si="54">G18+M18</f>
        <v>37008</v>
      </c>
      <c r="P18" s="26">
        <f t="shared" si="54"/>
        <v>11726027980</v>
      </c>
      <c r="Q18" s="89"/>
      <c r="R18" s="47">
        <v>0</v>
      </c>
      <c r="S18" s="22">
        <v>0</v>
      </c>
      <c r="T18" s="48">
        <v>0</v>
      </c>
      <c r="U18" s="22">
        <v>0</v>
      </c>
      <c r="V18" s="48">
        <v>3573</v>
      </c>
      <c r="W18" s="22">
        <v>544070300</v>
      </c>
      <c r="X18" s="48">
        <f t="shared" ref="X18:Y18" si="55">R18+T18+V18</f>
        <v>3573</v>
      </c>
      <c r="Y18" s="26">
        <f t="shared" si="55"/>
        <v>544070300</v>
      </c>
      <c r="AA18" s="50"/>
    </row>
    <row r="19" spans="1:27" ht="16.5" x14ac:dyDescent="0.3">
      <c r="A19" s="20" t="s">
        <v>66</v>
      </c>
      <c r="B19" s="21" t="s">
        <v>67</v>
      </c>
      <c r="C19" s="47">
        <v>2074</v>
      </c>
      <c r="D19" s="22">
        <v>782010100</v>
      </c>
      <c r="E19" s="48">
        <v>5</v>
      </c>
      <c r="F19" s="22">
        <v>2539500</v>
      </c>
      <c r="G19" s="86">
        <f t="shared" ref="G19:H19" si="56">C19+E19</f>
        <v>2079</v>
      </c>
      <c r="H19" s="26">
        <f t="shared" si="56"/>
        <v>784549600</v>
      </c>
      <c r="I19" s="47">
        <v>73</v>
      </c>
      <c r="J19" s="22">
        <v>47554500</v>
      </c>
      <c r="K19" s="48">
        <v>5</v>
      </c>
      <c r="L19" s="22">
        <v>3355500</v>
      </c>
      <c r="M19" s="87">
        <f t="shared" ref="M19:N19" si="57">I19+K19</f>
        <v>78</v>
      </c>
      <c r="N19" s="26">
        <f t="shared" si="57"/>
        <v>50910000</v>
      </c>
      <c r="O19" s="88">
        <f t="shared" ref="O19:P19" si="58">G19+M19</f>
        <v>2157</v>
      </c>
      <c r="P19" s="26">
        <f t="shared" si="58"/>
        <v>835459600</v>
      </c>
      <c r="Q19" s="89"/>
      <c r="R19" s="47">
        <v>193</v>
      </c>
      <c r="S19" s="22">
        <v>87034700</v>
      </c>
      <c r="T19" s="48">
        <v>305</v>
      </c>
      <c r="U19" s="22">
        <v>2084500</v>
      </c>
      <c r="V19" s="48">
        <v>176</v>
      </c>
      <c r="W19" s="22">
        <v>9870600</v>
      </c>
      <c r="X19" s="48">
        <f t="shared" ref="X19:Y19" si="59">R19+T19+V19</f>
        <v>674</v>
      </c>
      <c r="Y19" s="26">
        <f t="shared" si="59"/>
        <v>98989800</v>
      </c>
      <c r="AA19" s="50"/>
    </row>
    <row r="20" spans="1:27" ht="16.5" x14ac:dyDescent="0.3">
      <c r="A20" s="20" t="s">
        <v>31</v>
      </c>
      <c r="B20" s="21" t="s">
        <v>32</v>
      </c>
      <c r="C20" s="47">
        <v>15976</v>
      </c>
      <c r="D20" s="22">
        <v>1508031500</v>
      </c>
      <c r="E20" s="48">
        <v>11</v>
      </c>
      <c r="F20" s="22">
        <v>19983300</v>
      </c>
      <c r="G20" s="86">
        <f t="shared" ref="G20:H20" si="60">C20+E20</f>
        <v>15987</v>
      </c>
      <c r="H20" s="26">
        <f t="shared" si="60"/>
        <v>1528014800</v>
      </c>
      <c r="I20" s="47">
        <v>620</v>
      </c>
      <c r="J20" s="22">
        <v>275497750</v>
      </c>
      <c r="K20" s="48">
        <v>104</v>
      </c>
      <c r="L20" s="22">
        <v>77803000</v>
      </c>
      <c r="M20" s="87">
        <f t="shared" ref="M20:N20" si="61">I20+K20</f>
        <v>724</v>
      </c>
      <c r="N20" s="26">
        <f t="shared" si="61"/>
        <v>353300750</v>
      </c>
      <c r="O20" s="88">
        <f t="shared" ref="O20:P20" si="62">G20+M20</f>
        <v>16711</v>
      </c>
      <c r="P20" s="26">
        <f t="shared" si="62"/>
        <v>1881315550</v>
      </c>
      <c r="Q20" s="89"/>
      <c r="R20" s="47">
        <v>19</v>
      </c>
      <c r="S20" s="22">
        <v>2206100</v>
      </c>
      <c r="T20" s="48">
        <v>54</v>
      </c>
      <c r="U20" s="22">
        <v>186600</v>
      </c>
      <c r="V20" s="48">
        <v>482</v>
      </c>
      <c r="W20" s="22">
        <v>15528800</v>
      </c>
      <c r="X20" s="48">
        <f t="shared" ref="X20:Y20" si="63">R20+T20+V20</f>
        <v>555</v>
      </c>
      <c r="Y20" s="26">
        <f t="shared" si="63"/>
        <v>17921500</v>
      </c>
      <c r="AA20" s="50"/>
    </row>
    <row r="21" spans="1:27" ht="15.75" customHeight="1" x14ac:dyDescent="0.3">
      <c r="A21" s="20" t="s">
        <v>31</v>
      </c>
      <c r="B21" s="21" t="s">
        <v>33</v>
      </c>
      <c r="C21" s="47">
        <v>18503</v>
      </c>
      <c r="D21" s="22">
        <v>2856462600</v>
      </c>
      <c r="E21" s="48">
        <v>29</v>
      </c>
      <c r="F21" s="22">
        <v>201742300</v>
      </c>
      <c r="G21" s="86">
        <f t="shared" ref="G21:H21" si="64">C21+E21</f>
        <v>18532</v>
      </c>
      <c r="H21" s="26">
        <f t="shared" si="64"/>
        <v>3058204900</v>
      </c>
      <c r="I21" s="47">
        <v>493</v>
      </c>
      <c r="J21" s="22">
        <v>350348600</v>
      </c>
      <c r="K21" s="48">
        <v>56</v>
      </c>
      <c r="L21" s="22">
        <v>43558700</v>
      </c>
      <c r="M21" s="87">
        <f t="shared" ref="M21:N21" si="65">I21+K21</f>
        <v>549</v>
      </c>
      <c r="N21" s="26">
        <f t="shared" si="65"/>
        <v>393907300</v>
      </c>
      <c r="O21" s="88">
        <f t="shared" ref="O21:P21" si="66">G21+M21</f>
        <v>19081</v>
      </c>
      <c r="P21" s="26">
        <f t="shared" si="66"/>
        <v>3452112200</v>
      </c>
      <c r="Q21" s="89"/>
      <c r="R21" s="47">
        <v>29</v>
      </c>
      <c r="S21" s="22">
        <v>4692100</v>
      </c>
      <c r="T21" s="48">
        <v>120</v>
      </c>
      <c r="U21" s="22">
        <v>3839400</v>
      </c>
      <c r="V21" s="48">
        <v>1007</v>
      </c>
      <c r="W21" s="22">
        <v>61106400</v>
      </c>
      <c r="X21" s="48">
        <f t="shared" ref="X21:Y21" si="67">R21+T21+V21</f>
        <v>1156</v>
      </c>
      <c r="Y21" s="26">
        <f t="shared" si="67"/>
        <v>69637900</v>
      </c>
      <c r="AA21" s="50"/>
    </row>
    <row r="22" spans="1:27" ht="15.75" customHeight="1" x14ac:dyDescent="0.3">
      <c r="A22" s="20" t="s">
        <v>31</v>
      </c>
      <c r="B22" s="21" t="s">
        <v>34</v>
      </c>
      <c r="C22" s="47">
        <v>4189</v>
      </c>
      <c r="D22" s="22">
        <v>390996400</v>
      </c>
      <c r="E22" s="48">
        <v>5</v>
      </c>
      <c r="F22" s="22">
        <v>9851200</v>
      </c>
      <c r="G22" s="86">
        <f t="shared" ref="G22:H22" si="68">C22+E22</f>
        <v>4194</v>
      </c>
      <c r="H22" s="26">
        <f t="shared" si="68"/>
        <v>400847600</v>
      </c>
      <c r="I22" s="47">
        <v>196</v>
      </c>
      <c r="J22" s="22">
        <v>32017100</v>
      </c>
      <c r="K22" s="48">
        <v>146</v>
      </c>
      <c r="L22" s="22">
        <v>53611300</v>
      </c>
      <c r="M22" s="87">
        <f t="shared" ref="M22:N22" si="69">I22+K22</f>
        <v>342</v>
      </c>
      <c r="N22" s="26">
        <f t="shared" si="69"/>
        <v>85628400</v>
      </c>
      <c r="O22" s="88">
        <f t="shared" ref="O22:P22" si="70">G22+M22</f>
        <v>4536</v>
      </c>
      <c r="P22" s="26">
        <f t="shared" si="70"/>
        <v>486476000</v>
      </c>
      <c r="Q22" s="89"/>
      <c r="R22" s="47">
        <v>0</v>
      </c>
      <c r="S22" s="22">
        <v>0</v>
      </c>
      <c r="T22" s="48">
        <v>0</v>
      </c>
      <c r="U22" s="22">
        <v>0</v>
      </c>
      <c r="V22" s="48">
        <v>135</v>
      </c>
      <c r="W22" s="22">
        <v>5031700</v>
      </c>
      <c r="X22" s="48">
        <f t="shared" ref="X22:Y22" si="71">R22+T22+V22</f>
        <v>135</v>
      </c>
      <c r="Y22" s="26">
        <f t="shared" si="71"/>
        <v>5031700</v>
      </c>
      <c r="AA22" s="50"/>
    </row>
    <row r="23" spans="1:27" ht="15.75" customHeight="1" x14ac:dyDescent="0.3">
      <c r="A23" s="20" t="s">
        <v>31</v>
      </c>
      <c r="B23" s="21" t="s">
        <v>35</v>
      </c>
      <c r="C23" s="47">
        <v>11983</v>
      </c>
      <c r="D23" s="22">
        <v>1737827100</v>
      </c>
      <c r="E23" s="48">
        <v>25</v>
      </c>
      <c r="F23" s="22">
        <v>179416500</v>
      </c>
      <c r="G23" s="86">
        <f t="shared" ref="G23:H23" si="72">C23+E23</f>
        <v>12008</v>
      </c>
      <c r="H23" s="26">
        <f t="shared" si="72"/>
        <v>1917243600</v>
      </c>
      <c r="I23" s="47">
        <v>408</v>
      </c>
      <c r="J23" s="22">
        <v>171597700</v>
      </c>
      <c r="K23" s="48">
        <v>56</v>
      </c>
      <c r="L23" s="22">
        <v>159151300</v>
      </c>
      <c r="M23" s="87">
        <f t="shared" ref="M23:N23" si="73">I23+K23</f>
        <v>464</v>
      </c>
      <c r="N23" s="26">
        <f t="shared" si="73"/>
        <v>330749000</v>
      </c>
      <c r="O23" s="88">
        <f t="shared" ref="O23:P23" si="74">G23+M23</f>
        <v>12472</v>
      </c>
      <c r="P23" s="26">
        <f t="shared" si="74"/>
        <v>2247992600</v>
      </c>
      <c r="Q23" s="89"/>
      <c r="R23" s="47">
        <v>1</v>
      </c>
      <c r="S23" s="22">
        <v>143900</v>
      </c>
      <c r="T23" s="48">
        <v>3</v>
      </c>
      <c r="U23" s="22">
        <v>12000</v>
      </c>
      <c r="V23" s="48">
        <v>439</v>
      </c>
      <c r="W23" s="22">
        <v>53836100</v>
      </c>
      <c r="X23" s="48">
        <f t="shared" ref="X23:Y23" si="75">R23+T23+V23</f>
        <v>443</v>
      </c>
      <c r="Y23" s="26">
        <f t="shared" si="75"/>
        <v>53992000</v>
      </c>
      <c r="AA23" s="50"/>
    </row>
    <row r="24" spans="1:27" ht="15.75" customHeight="1" x14ac:dyDescent="0.3">
      <c r="A24" s="20" t="s">
        <v>31</v>
      </c>
      <c r="B24" s="21" t="s">
        <v>36</v>
      </c>
      <c r="C24" s="47">
        <v>4325</v>
      </c>
      <c r="D24" s="22">
        <v>1259103300</v>
      </c>
      <c r="E24" s="48">
        <v>28</v>
      </c>
      <c r="F24" s="22">
        <v>55791400</v>
      </c>
      <c r="G24" s="86">
        <f t="shared" ref="G24:H24" si="76">C24+E24</f>
        <v>4353</v>
      </c>
      <c r="H24" s="26">
        <f t="shared" si="76"/>
        <v>1314894700</v>
      </c>
      <c r="I24" s="47">
        <v>185</v>
      </c>
      <c r="J24" s="22">
        <v>85872900</v>
      </c>
      <c r="K24" s="48">
        <v>26</v>
      </c>
      <c r="L24" s="22">
        <v>98636700</v>
      </c>
      <c r="M24" s="87">
        <f t="shared" ref="M24:N24" si="77">I24+K24</f>
        <v>211</v>
      </c>
      <c r="N24" s="26">
        <f t="shared" si="77"/>
        <v>184509600</v>
      </c>
      <c r="O24" s="88">
        <f t="shared" ref="O24:P24" si="78">G24+M24</f>
        <v>4564</v>
      </c>
      <c r="P24" s="26">
        <f t="shared" si="78"/>
        <v>1499404300</v>
      </c>
      <c r="Q24" s="89"/>
      <c r="R24" s="47">
        <v>0</v>
      </c>
      <c r="S24" s="22">
        <v>0</v>
      </c>
      <c r="T24" s="48">
        <v>0</v>
      </c>
      <c r="U24" s="22">
        <v>0</v>
      </c>
      <c r="V24" s="48">
        <v>234</v>
      </c>
      <c r="W24" s="22">
        <v>11729100</v>
      </c>
      <c r="X24" s="48">
        <f t="shared" ref="X24:Y24" si="79">R24+T24+V24</f>
        <v>234</v>
      </c>
      <c r="Y24" s="26">
        <f t="shared" si="79"/>
        <v>11729100</v>
      </c>
      <c r="AA24" s="50"/>
    </row>
    <row r="25" spans="1:27" ht="15.75" customHeight="1" x14ac:dyDescent="0.3">
      <c r="A25" s="20" t="s">
        <v>31</v>
      </c>
      <c r="B25" s="21" t="s">
        <v>37</v>
      </c>
      <c r="C25" s="47">
        <v>26464</v>
      </c>
      <c r="D25" s="22">
        <v>2063703600</v>
      </c>
      <c r="E25" s="48">
        <v>108</v>
      </c>
      <c r="F25" s="22">
        <v>194108600</v>
      </c>
      <c r="G25" s="86">
        <f t="shared" ref="G25:H25" si="80">C25+E25</f>
        <v>26572</v>
      </c>
      <c r="H25" s="26">
        <f t="shared" si="80"/>
        <v>2257812200</v>
      </c>
      <c r="I25" s="47">
        <v>1079</v>
      </c>
      <c r="J25" s="22">
        <v>617024800</v>
      </c>
      <c r="K25" s="48">
        <v>165</v>
      </c>
      <c r="L25" s="22">
        <v>276652100</v>
      </c>
      <c r="M25" s="87">
        <f t="shared" ref="M25:N25" si="81">I25+K25</f>
        <v>1244</v>
      </c>
      <c r="N25" s="26">
        <f t="shared" si="81"/>
        <v>893676900</v>
      </c>
      <c r="O25" s="88">
        <f t="shared" ref="O25:P25" si="82">G25+M25</f>
        <v>27816</v>
      </c>
      <c r="P25" s="26">
        <f t="shared" si="82"/>
        <v>3151489100</v>
      </c>
      <c r="Q25" s="89"/>
      <c r="R25" s="47">
        <v>0</v>
      </c>
      <c r="S25" s="22">
        <v>0</v>
      </c>
      <c r="T25" s="48">
        <v>0</v>
      </c>
      <c r="U25" s="22">
        <v>0</v>
      </c>
      <c r="V25" s="48">
        <v>617</v>
      </c>
      <c r="W25" s="22">
        <v>40758200</v>
      </c>
      <c r="X25" s="48">
        <f t="shared" ref="X25:Y25" si="83">R25+T25+V25</f>
        <v>617</v>
      </c>
      <c r="Y25" s="26">
        <f t="shared" si="83"/>
        <v>40758200</v>
      </c>
      <c r="AA25" s="50"/>
    </row>
    <row r="26" spans="1:27" ht="15.75" customHeight="1" x14ac:dyDescent="0.3">
      <c r="A26" s="20" t="s">
        <v>38</v>
      </c>
      <c r="B26" s="21" t="s">
        <v>39</v>
      </c>
      <c r="C26" s="47">
        <v>2961</v>
      </c>
      <c r="D26" s="22">
        <v>402550000</v>
      </c>
      <c r="E26" s="48">
        <v>20</v>
      </c>
      <c r="F26" s="22">
        <v>10788100</v>
      </c>
      <c r="G26" s="86">
        <f t="shared" ref="G26:H26" si="84">C26+E26</f>
        <v>2981</v>
      </c>
      <c r="H26" s="26">
        <f t="shared" si="84"/>
        <v>413338100</v>
      </c>
      <c r="I26" s="47">
        <v>107</v>
      </c>
      <c r="J26" s="22">
        <v>52284100</v>
      </c>
      <c r="K26" s="48">
        <v>3</v>
      </c>
      <c r="L26" s="22">
        <v>2467700</v>
      </c>
      <c r="M26" s="87">
        <f t="shared" ref="M26:N26" si="85">I26+K26</f>
        <v>110</v>
      </c>
      <c r="N26" s="26">
        <f t="shared" si="85"/>
        <v>54751800</v>
      </c>
      <c r="O26" s="88">
        <f t="shared" ref="O26:P26" si="86">G26+M26</f>
        <v>3091</v>
      </c>
      <c r="P26" s="26">
        <f t="shared" si="86"/>
        <v>468089900</v>
      </c>
      <c r="Q26" s="89"/>
      <c r="R26" s="47">
        <v>0</v>
      </c>
      <c r="S26" s="22">
        <v>0</v>
      </c>
      <c r="T26" s="48">
        <v>0</v>
      </c>
      <c r="U26" s="22">
        <v>0</v>
      </c>
      <c r="V26" s="48">
        <v>178</v>
      </c>
      <c r="W26" s="22">
        <v>6963300</v>
      </c>
      <c r="X26" s="48">
        <f t="shared" ref="X26:Y26" si="87">R26+T26+V26</f>
        <v>178</v>
      </c>
      <c r="Y26" s="26">
        <f t="shared" si="87"/>
        <v>6963300</v>
      </c>
      <c r="AA26" s="50"/>
    </row>
    <row r="27" spans="1:27" ht="15.75" customHeight="1" x14ac:dyDescent="0.3">
      <c r="A27" s="20" t="s">
        <v>38</v>
      </c>
      <c r="B27" s="21" t="s">
        <v>40</v>
      </c>
      <c r="C27" s="47">
        <v>14192</v>
      </c>
      <c r="D27" s="22">
        <v>6436526600</v>
      </c>
      <c r="E27" s="48">
        <v>0</v>
      </c>
      <c r="F27" s="22">
        <v>0</v>
      </c>
      <c r="G27" s="86">
        <f t="shared" ref="G27:H27" si="88">C27+E27</f>
        <v>14192</v>
      </c>
      <c r="H27" s="26">
        <f t="shared" si="88"/>
        <v>6436526600</v>
      </c>
      <c r="I27" s="47">
        <v>389</v>
      </c>
      <c r="J27" s="22">
        <v>518889000</v>
      </c>
      <c r="K27" s="48">
        <v>9</v>
      </c>
      <c r="L27" s="22">
        <v>25197400</v>
      </c>
      <c r="M27" s="87">
        <f t="shared" ref="M27:N27" si="89">I27+K27</f>
        <v>398</v>
      </c>
      <c r="N27" s="26">
        <f t="shared" si="89"/>
        <v>544086400</v>
      </c>
      <c r="O27" s="88">
        <f t="shared" ref="O27:P27" si="90">G27+M27</f>
        <v>14590</v>
      </c>
      <c r="P27" s="26">
        <f t="shared" si="90"/>
        <v>6980613000</v>
      </c>
      <c r="Q27" s="89"/>
      <c r="R27" s="47">
        <v>92</v>
      </c>
      <c r="S27" s="22">
        <v>40985400</v>
      </c>
      <c r="T27" s="48">
        <v>177</v>
      </c>
      <c r="U27" s="22">
        <v>1838300</v>
      </c>
      <c r="V27" s="48">
        <v>418</v>
      </c>
      <c r="W27" s="22">
        <v>34613800</v>
      </c>
      <c r="X27" s="48">
        <f t="shared" ref="X27:Y27" si="91">R27+T27+V27</f>
        <v>687</v>
      </c>
      <c r="Y27" s="26">
        <f t="shared" si="91"/>
        <v>77437500</v>
      </c>
      <c r="AA27" s="50"/>
    </row>
    <row r="28" spans="1:27" ht="15.75" customHeight="1" x14ac:dyDescent="0.3">
      <c r="A28" s="20" t="s">
        <v>38</v>
      </c>
      <c r="B28" s="21" t="s">
        <v>68</v>
      </c>
      <c r="C28" s="47">
        <v>8598</v>
      </c>
      <c r="D28" s="22">
        <v>4549307800</v>
      </c>
      <c r="E28" s="48">
        <v>15</v>
      </c>
      <c r="F28" s="22">
        <v>251064000</v>
      </c>
      <c r="G28" s="86">
        <f t="shared" ref="G28:H28" si="92">C28+E28</f>
        <v>8613</v>
      </c>
      <c r="H28" s="26">
        <f t="shared" si="92"/>
        <v>4800371800</v>
      </c>
      <c r="I28" s="47">
        <v>403</v>
      </c>
      <c r="J28" s="22">
        <v>626777020</v>
      </c>
      <c r="K28" s="48">
        <v>0</v>
      </c>
      <c r="L28" s="22">
        <v>0</v>
      </c>
      <c r="M28" s="87">
        <f t="shared" ref="M28:N28" si="93">I28+K28</f>
        <v>403</v>
      </c>
      <c r="N28" s="26">
        <f t="shared" si="93"/>
        <v>626777020</v>
      </c>
      <c r="O28" s="88">
        <f t="shared" ref="O28:P28" si="94">G28+M28</f>
        <v>9016</v>
      </c>
      <c r="P28" s="26">
        <f t="shared" si="94"/>
        <v>5427148820</v>
      </c>
      <c r="Q28" s="89"/>
      <c r="R28" s="47">
        <v>3</v>
      </c>
      <c r="S28" s="22">
        <v>6357900</v>
      </c>
      <c r="T28" s="48">
        <v>3</v>
      </c>
      <c r="U28" s="22">
        <v>4100</v>
      </c>
      <c r="V28" s="48">
        <v>386</v>
      </c>
      <c r="W28" s="22">
        <v>75553700</v>
      </c>
      <c r="X28" s="48">
        <f t="shared" ref="X28:Y28" si="95">R28+T28+V28</f>
        <v>392</v>
      </c>
      <c r="Y28" s="26">
        <f t="shared" si="95"/>
        <v>81915700</v>
      </c>
      <c r="AA28" s="50"/>
    </row>
    <row r="29" spans="1:27" ht="15.75" customHeight="1" x14ac:dyDescent="0.3">
      <c r="A29" s="20" t="s">
        <v>38</v>
      </c>
      <c r="B29" s="21" t="s">
        <v>69</v>
      </c>
      <c r="C29" s="47">
        <v>1031</v>
      </c>
      <c r="D29" s="22">
        <v>651067300</v>
      </c>
      <c r="E29" s="48">
        <v>4</v>
      </c>
      <c r="F29" s="22">
        <v>4982400</v>
      </c>
      <c r="G29" s="86">
        <f t="shared" ref="G29:H29" si="96">C29+E29</f>
        <v>1035</v>
      </c>
      <c r="H29" s="26">
        <f t="shared" si="96"/>
        <v>656049700</v>
      </c>
      <c r="I29" s="47">
        <v>71</v>
      </c>
      <c r="J29" s="22">
        <v>144401900</v>
      </c>
      <c r="K29" s="48">
        <v>0</v>
      </c>
      <c r="L29" s="22">
        <v>0</v>
      </c>
      <c r="M29" s="87">
        <f t="shared" ref="M29:N29" si="97">I29+K29</f>
        <v>71</v>
      </c>
      <c r="N29" s="26">
        <f t="shared" si="97"/>
        <v>144401900</v>
      </c>
      <c r="O29" s="88">
        <f t="shared" ref="O29:P29" si="98">G29+M29</f>
        <v>1106</v>
      </c>
      <c r="P29" s="26">
        <f t="shared" si="98"/>
        <v>800451600</v>
      </c>
      <c r="Q29" s="89"/>
      <c r="R29" s="47">
        <v>0</v>
      </c>
      <c r="S29" s="22">
        <v>0</v>
      </c>
      <c r="T29" s="48">
        <v>0</v>
      </c>
      <c r="U29" s="22">
        <v>0</v>
      </c>
      <c r="V29" s="48">
        <v>202</v>
      </c>
      <c r="W29" s="22">
        <v>20706000</v>
      </c>
      <c r="X29" s="48">
        <f t="shared" ref="X29:Y29" si="99">R29+T29+V29</f>
        <v>202</v>
      </c>
      <c r="Y29" s="26">
        <f t="shared" si="99"/>
        <v>20706000</v>
      </c>
      <c r="AA29" s="50"/>
    </row>
    <row r="30" spans="1:27" ht="15.75" customHeight="1" x14ac:dyDescent="0.3">
      <c r="A30" s="20" t="s">
        <v>70</v>
      </c>
      <c r="B30" s="21" t="s">
        <v>71</v>
      </c>
      <c r="C30" s="47">
        <v>6034</v>
      </c>
      <c r="D30" s="22">
        <v>2449740600</v>
      </c>
      <c r="E30" s="48">
        <v>3</v>
      </c>
      <c r="F30" s="22">
        <v>14896000</v>
      </c>
      <c r="G30" s="86">
        <f t="shared" ref="G30:H30" si="100">C30+E30</f>
        <v>6037</v>
      </c>
      <c r="H30" s="26">
        <f t="shared" si="100"/>
        <v>2464636600</v>
      </c>
      <c r="I30" s="47">
        <v>374</v>
      </c>
      <c r="J30" s="22">
        <v>485843100</v>
      </c>
      <c r="K30" s="48">
        <v>38</v>
      </c>
      <c r="L30" s="22">
        <v>96019300</v>
      </c>
      <c r="M30" s="87">
        <f t="shared" ref="M30:N30" si="101">I30+K30</f>
        <v>412</v>
      </c>
      <c r="N30" s="26">
        <f t="shared" si="101"/>
        <v>581862400</v>
      </c>
      <c r="O30" s="88">
        <f t="shared" ref="O30:P30" si="102">G30+M30</f>
        <v>6449</v>
      </c>
      <c r="P30" s="26">
        <f t="shared" si="102"/>
        <v>3046499000</v>
      </c>
      <c r="Q30" s="89"/>
      <c r="R30" s="47">
        <v>8</v>
      </c>
      <c r="S30" s="22">
        <v>4379300</v>
      </c>
      <c r="T30" s="48">
        <v>15</v>
      </c>
      <c r="U30" s="22">
        <v>80700</v>
      </c>
      <c r="V30" s="48">
        <v>515</v>
      </c>
      <c r="W30" s="22">
        <v>31170900</v>
      </c>
      <c r="X30" s="48">
        <f t="shared" ref="X30:Y30" si="103">R30+T30+V30</f>
        <v>538</v>
      </c>
      <c r="Y30" s="26">
        <f t="shared" si="103"/>
        <v>35630900</v>
      </c>
      <c r="AA30" s="50"/>
    </row>
    <row r="31" spans="1:27" ht="15.75" customHeight="1" x14ac:dyDescent="0.3">
      <c r="A31" s="20" t="s">
        <v>70</v>
      </c>
      <c r="B31" s="21" t="s">
        <v>72</v>
      </c>
      <c r="C31" s="47">
        <v>3531</v>
      </c>
      <c r="D31" s="22">
        <v>1134589800</v>
      </c>
      <c r="E31" s="48">
        <v>2</v>
      </c>
      <c r="F31" s="22">
        <v>36996700</v>
      </c>
      <c r="G31" s="86">
        <f t="shared" ref="G31:H31" si="104">C31+E31</f>
        <v>3533</v>
      </c>
      <c r="H31" s="26">
        <f t="shared" si="104"/>
        <v>1171586500</v>
      </c>
      <c r="I31" s="47">
        <v>78</v>
      </c>
      <c r="J31" s="22">
        <v>112361700</v>
      </c>
      <c r="K31" s="48">
        <v>25</v>
      </c>
      <c r="L31" s="22">
        <v>59752400</v>
      </c>
      <c r="M31" s="87">
        <f t="shared" ref="M31:N31" si="105">I31+K31</f>
        <v>103</v>
      </c>
      <c r="N31" s="26">
        <f t="shared" si="105"/>
        <v>172114100</v>
      </c>
      <c r="O31" s="88">
        <f t="shared" ref="O31:P31" si="106">G31+M31</f>
        <v>3636</v>
      </c>
      <c r="P31" s="26">
        <f t="shared" si="106"/>
        <v>1343700600</v>
      </c>
      <c r="Q31" s="89"/>
      <c r="R31" s="47">
        <v>14</v>
      </c>
      <c r="S31" s="22">
        <v>4777200</v>
      </c>
      <c r="T31" s="48">
        <v>17</v>
      </c>
      <c r="U31" s="22">
        <v>322600</v>
      </c>
      <c r="V31" s="48">
        <v>113</v>
      </c>
      <c r="W31" s="22">
        <v>7649600</v>
      </c>
      <c r="X31" s="48">
        <f t="shared" ref="X31:Y31" si="107">R31+T31+V31</f>
        <v>144</v>
      </c>
      <c r="Y31" s="26">
        <f t="shared" si="107"/>
        <v>12749400</v>
      </c>
      <c r="AA31" s="50"/>
    </row>
    <row r="32" spans="1:27" ht="15.75" customHeight="1" x14ac:dyDescent="0.3">
      <c r="A32" s="20" t="s">
        <v>41</v>
      </c>
      <c r="B32" s="21" t="s">
        <v>73</v>
      </c>
      <c r="C32" s="47">
        <v>3522</v>
      </c>
      <c r="D32" s="22">
        <v>1092644600</v>
      </c>
      <c r="E32" s="48">
        <v>10</v>
      </c>
      <c r="F32" s="22">
        <v>105985600</v>
      </c>
      <c r="G32" s="86">
        <f t="shared" ref="G32:H32" si="108">C32+E32</f>
        <v>3532</v>
      </c>
      <c r="H32" s="26">
        <f t="shared" si="108"/>
        <v>1198630200</v>
      </c>
      <c r="I32" s="47">
        <v>195</v>
      </c>
      <c r="J32" s="22">
        <v>233815500</v>
      </c>
      <c r="K32" s="48">
        <v>36</v>
      </c>
      <c r="L32" s="22">
        <v>45395300</v>
      </c>
      <c r="M32" s="87">
        <f t="shared" ref="M32:N32" si="109">I32+K32</f>
        <v>231</v>
      </c>
      <c r="N32" s="26">
        <f t="shared" si="109"/>
        <v>279210800</v>
      </c>
      <c r="O32" s="88">
        <f t="shared" ref="O32:P32" si="110">G32+M32</f>
        <v>3763</v>
      </c>
      <c r="P32" s="26">
        <f t="shared" si="110"/>
        <v>1477841000</v>
      </c>
      <c r="Q32" s="89"/>
      <c r="R32" s="47">
        <v>0</v>
      </c>
      <c r="S32" s="22">
        <v>0</v>
      </c>
      <c r="T32" s="48">
        <v>0</v>
      </c>
      <c r="U32" s="22">
        <v>0</v>
      </c>
      <c r="V32" s="48">
        <v>161</v>
      </c>
      <c r="W32" s="22">
        <v>26087900</v>
      </c>
      <c r="X32" s="48">
        <f t="shared" ref="X32:Y32" si="111">R32+T32+V32</f>
        <v>161</v>
      </c>
      <c r="Y32" s="26">
        <f t="shared" si="111"/>
        <v>26087900</v>
      </c>
      <c r="AA32" s="50"/>
    </row>
    <row r="33" spans="1:27" ht="15.75" customHeight="1" x14ac:dyDescent="0.3">
      <c r="A33" s="20" t="s">
        <v>41</v>
      </c>
      <c r="B33" s="21" t="s">
        <v>42</v>
      </c>
      <c r="C33" s="47">
        <v>18344</v>
      </c>
      <c r="D33" s="22">
        <v>3622984600</v>
      </c>
      <c r="E33" s="48">
        <v>542</v>
      </c>
      <c r="F33" s="22">
        <v>501926300</v>
      </c>
      <c r="G33" s="86">
        <f t="shared" ref="G33:H33" si="112">C33+E33</f>
        <v>18886</v>
      </c>
      <c r="H33" s="26">
        <f t="shared" si="112"/>
        <v>4124910900</v>
      </c>
      <c r="I33" s="47">
        <v>3612</v>
      </c>
      <c r="J33" s="22">
        <v>1702139500</v>
      </c>
      <c r="K33" s="48">
        <v>489</v>
      </c>
      <c r="L33" s="22">
        <v>486176200</v>
      </c>
      <c r="M33" s="87">
        <f t="shared" ref="M33:N33" si="113">I33+K33</f>
        <v>4101</v>
      </c>
      <c r="N33" s="26">
        <f t="shared" si="113"/>
        <v>2188315700</v>
      </c>
      <c r="O33" s="88">
        <f t="shared" ref="O33:P33" si="114">G33+M33</f>
        <v>22987</v>
      </c>
      <c r="P33" s="26">
        <f t="shared" si="114"/>
        <v>6313226600</v>
      </c>
      <c r="Q33" s="89"/>
      <c r="R33" s="47">
        <v>0</v>
      </c>
      <c r="S33" s="22">
        <v>0</v>
      </c>
      <c r="T33" s="48">
        <v>0</v>
      </c>
      <c r="U33" s="22">
        <v>0</v>
      </c>
      <c r="V33" s="48">
        <v>967</v>
      </c>
      <c r="W33" s="22">
        <v>49141800</v>
      </c>
      <c r="X33" s="48">
        <f t="shared" ref="X33:Y33" si="115">R33+T33+V33</f>
        <v>967</v>
      </c>
      <c r="Y33" s="26">
        <f t="shared" si="115"/>
        <v>49141800</v>
      </c>
      <c r="AA33" s="50"/>
    </row>
    <row r="34" spans="1:27" ht="15.75" customHeight="1" x14ac:dyDescent="0.3">
      <c r="A34" s="20" t="s">
        <v>41</v>
      </c>
      <c r="B34" s="21" t="s">
        <v>43</v>
      </c>
      <c r="C34" s="47">
        <v>3661</v>
      </c>
      <c r="D34" s="22">
        <v>1019610500</v>
      </c>
      <c r="E34" s="48">
        <v>8</v>
      </c>
      <c r="F34" s="22">
        <v>25978200</v>
      </c>
      <c r="G34" s="86">
        <f t="shared" ref="G34:H34" si="116">C34+E34</f>
        <v>3669</v>
      </c>
      <c r="H34" s="26">
        <f t="shared" si="116"/>
        <v>1045588700</v>
      </c>
      <c r="I34" s="47">
        <v>162</v>
      </c>
      <c r="J34" s="22">
        <v>111238900</v>
      </c>
      <c r="K34" s="48">
        <v>10</v>
      </c>
      <c r="L34" s="22">
        <v>37418100</v>
      </c>
      <c r="M34" s="87">
        <f t="shared" ref="M34:N34" si="117">I34+K34</f>
        <v>172</v>
      </c>
      <c r="N34" s="26">
        <f t="shared" si="117"/>
        <v>148657000</v>
      </c>
      <c r="O34" s="88">
        <f t="shared" ref="O34:P34" si="118">G34+M34</f>
        <v>3841</v>
      </c>
      <c r="P34" s="26">
        <f t="shared" si="118"/>
        <v>1194245700</v>
      </c>
      <c r="Q34" s="89"/>
      <c r="R34" s="47">
        <v>0</v>
      </c>
      <c r="S34" s="22">
        <v>0</v>
      </c>
      <c r="T34" s="48">
        <v>0</v>
      </c>
      <c r="U34" s="22">
        <v>0</v>
      </c>
      <c r="V34" s="48">
        <v>48</v>
      </c>
      <c r="W34" s="22">
        <v>4220300</v>
      </c>
      <c r="X34" s="48">
        <f t="shared" ref="X34:Y34" si="119">R34+T34+V34</f>
        <v>48</v>
      </c>
      <c r="Y34" s="26">
        <f t="shared" si="119"/>
        <v>4220300</v>
      </c>
      <c r="AA34" s="50"/>
    </row>
    <row r="35" spans="1:27" ht="15.75" customHeight="1" x14ac:dyDescent="0.3">
      <c r="A35" s="20" t="s">
        <v>41</v>
      </c>
      <c r="B35" s="21" t="s">
        <v>44</v>
      </c>
      <c r="C35" s="47">
        <v>16461</v>
      </c>
      <c r="D35" s="22">
        <v>3781102200</v>
      </c>
      <c r="E35" s="48">
        <v>9</v>
      </c>
      <c r="F35" s="22">
        <v>87685600</v>
      </c>
      <c r="G35" s="86">
        <f t="shared" ref="G35:H35" si="120">C35+E35</f>
        <v>16470</v>
      </c>
      <c r="H35" s="26">
        <f t="shared" si="120"/>
        <v>3868787800</v>
      </c>
      <c r="I35" s="47">
        <v>603</v>
      </c>
      <c r="J35" s="22">
        <v>1098407100</v>
      </c>
      <c r="K35" s="48">
        <v>88</v>
      </c>
      <c r="L35" s="22">
        <v>216695000</v>
      </c>
      <c r="M35" s="87">
        <f t="shared" ref="M35:N35" si="121">I35+K35</f>
        <v>691</v>
      </c>
      <c r="N35" s="26">
        <f t="shared" si="121"/>
        <v>1315102100</v>
      </c>
      <c r="O35" s="88">
        <f t="shared" ref="O35:P35" si="122">G35+M35</f>
        <v>17161</v>
      </c>
      <c r="P35" s="26">
        <f t="shared" si="122"/>
        <v>5183889900</v>
      </c>
      <c r="Q35" s="89"/>
      <c r="R35" s="47">
        <v>6</v>
      </c>
      <c r="S35" s="22">
        <v>1405200</v>
      </c>
      <c r="T35" s="48">
        <v>10</v>
      </c>
      <c r="U35" s="22">
        <v>94200</v>
      </c>
      <c r="V35" s="48">
        <v>431</v>
      </c>
      <c r="W35" s="22">
        <v>51887800</v>
      </c>
      <c r="X35" s="48">
        <f t="shared" ref="X35:Y35" si="123">R35+T35+V35</f>
        <v>447</v>
      </c>
      <c r="Y35" s="26">
        <f t="shared" si="123"/>
        <v>53387200</v>
      </c>
      <c r="AA35" s="50"/>
    </row>
    <row r="36" spans="1:27" ht="15.75" customHeight="1" x14ac:dyDescent="0.3">
      <c r="A36" s="20" t="s">
        <v>41</v>
      </c>
      <c r="B36" s="21" t="s">
        <v>74</v>
      </c>
      <c r="C36" s="47">
        <v>3646</v>
      </c>
      <c r="D36" s="22">
        <v>1260144500</v>
      </c>
      <c r="E36" s="48">
        <v>8</v>
      </c>
      <c r="F36" s="22">
        <v>63923600</v>
      </c>
      <c r="G36" s="86">
        <f t="shared" ref="G36:H36" si="124">C36+E36</f>
        <v>3654</v>
      </c>
      <c r="H36" s="26">
        <f t="shared" si="124"/>
        <v>1324068100</v>
      </c>
      <c r="I36" s="47">
        <v>225</v>
      </c>
      <c r="J36" s="22">
        <v>289189000</v>
      </c>
      <c r="K36" s="48">
        <v>29</v>
      </c>
      <c r="L36" s="22">
        <v>54477400</v>
      </c>
      <c r="M36" s="87">
        <f t="shared" ref="M36:N36" si="125">I36+K36</f>
        <v>254</v>
      </c>
      <c r="N36" s="26">
        <f t="shared" si="125"/>
        <v>343666400</v>
      </c>
      <c r="O36" s="88">
        <f t="shared" ref="O36:P36" si="126">G36+M36</f>
        <v>3908</v>
      </c>
      <c r="P36" s="26">
        <f t="shared" si="126"/>
        <v>1667734500</v>
      </c>
      <c r="Q36" s="89"/>
      <c r="R36" s="47">
        <v>0</v>
      </c>
      <c r="S36" s="22">
        <v>0</v>
      </c>
      <c r="T36" s="48">
        <v>1</v>
      </c>
      <c r="U36" s="22">
        <v>1800</v>
      </c>
      <c r="V36" s="48">
        <v>63</v>
      </c>
      <c r="W36" s="22">
        <v>15187300</v>
      </c>
      <c r="X36" s="48">
        <f t="shared" ref="X36:Y36" si="127">R36+T36+V36</f>
        <v>64</v>
      </c>
      <c r="Y36" s="26">
        <f t="shared" si="127"/>
        <v>15189100</v>
      </c>
      <c r="AA36" s="50"/>
    </row>
    <row r="37" spans="1:27" ht="15.75" customHeight="1" x14ac:dyDescent="0.3">
      <c r="A37" s="20" t="s">
        <v>45</v>
      </c>
      <c r="B37" s="21" t="s">
        <v>75</v>
      </c>
      <c r="C37" s="47">
        <v>14881</v>
      </c>
      <c r="D37" s="22">
        <v>6680686700</v>
      </c>
      <c r="E37" s="48">
        <v>24</v>
      </c>
      <c r="F37" s="22">
        <v>86882000</v>
      </c>
      <c r="G37" s="86">
        <f t="shared" ref="G37:H37" si="128">C37+E37</f>
        <v>14905</v>
      </c>
      <c r="H37" s="26">
        <f t="shared" si="128"/>
        <v>6767568700</v>
      </c>
      <c r="I37" s="47">
        <v>420</v>
      </c>
      <c r="J37" s="22">
        <v>1876065800</v>
      </c>
      <c r="K37" s="48">
        <v>47</v>
      </c>
      <c r="L37" s="22">
        <v>482554500</v>
      </c>
      <c r="M37" s="87">
        <f t="shared" ref="M37:N37" si="129">I37+K37</f>
        <v>467</v>
      </c>
      <c r="N37" s="26">
        <f t="shared" si="129"/>
        <v>2358620300</v>
      </c>
      <c r="O37" s="88">
        <f t="shared" ref="O37:P37" si="130">G37+M37</f>
        <v>15372</v>
      </c>
      <c r="P37" s="26">
        <f t="shared" si="130"/>
        <v>9126189000</v>
      </c>
      <c r="Q37" s="89"/>
      <c r="R37" s="47">
        <v>7</v>
      </c>
      <c r="S37" s="22">
        <v>4091700</v>
      </c>
      <c r="T37" s="48">
        <v>27</v>
      </c>
      <c r="U37" s="22">
        <v>80200</v>
      </c>
      <c r="V37" s="48">
        <v>439</v>
      </c>
      <c r="W37" s="22">
        <v>94182500</v>
      </c>
      <c r="X37" s="48">
        <f t="shared" ref="X37:Y37" si="131">R37+T37+V37</f>
        <v>473</v>
      </c>
      <c r="Y37" s="26">
        <f t="shared" si="131"/>
        <v>98354400</v>
      </c>
      <c r="AA37" s="50"/>
    </row>
    <row r="38" spans="1:27" ht="15.75" customHeight="1" x14ac:dyDescent="0.3">
      <c r="A38" s="20" t="s">
        <v>45</v>
      </c>
      <c r="B38" s="21" t="s">
        <v>46</v>
      </c>
      <c r="C38" s="47">
        <v>20199</v>
      </c>
      <c r="D38" s="22">
        <v>6957200600</v>
      </c>
      <c r="E38" s="48">
        <v>30</v>
      </c>
      <c r="F38" s="22">
        <v>684985000</v>
      </c>
      <c r="G38" s="86">
        <f t="shared" ref="G38:H38" si="132">C38+E38</f>
        <v>20229</v>
      </c>
      <c r="H38" s="26">
        <f t="shared" si="132"/>
        <v>7642185600</v>
      </c>
      <c r="I38" s="47">
        <v>538</v>
      </c>
      <c r="J38" s="22">
        <v>1649645200</v>
      </c>
      <c r="K38" s="48">
        <v>164</v>
      </c>
      <c r="L38" s="22">
        <v>1035058400</v>
      </c>
      <c r="M38" s="87">
        <f t="shared" ref="M38:N38" si="133">I38+K38</f>
        <v>702</v>
      </c>
      <c r="N38" s="26">
        <f t="shared" si="133"/>
        <v>2684703600</v>
      </c>
      <c r="O38" s="88">
        <f t="shared" ref="O38:P38" si="134">G38+M38</f>
        <v>20931</v>
      </c>
      <c r="P38" s="26">
        <f t="shared" si="134"/>
        <v>10326889200</v>
      </c>
      <c r="Q38" s="89"/>
      <c r="R38" s="47">
        <v>110</v>
      </c>
      <c r="S38" s="22">
        <v>51575100</v>
      </c>
      <c r="T38" s="48">
        <v>204</v>
      </c>
      <c r="U38" s="22">
        <v>2029100</v>
      </c>
      <c r="V38" s="48">
        <v>801</v>
      </c>
      <c r="W38" s="22">
        <v>161988450</v>
      </c>
      <c r="X38" s="48">
        <f t="shared" ref="X38:Y38" si="135">R38+T38+V38</f>
        <v>1115</v>
      </c>
      <c r="Y38" s="26">
        <f t="shared" si="135"/>
        <v>215592650</v>
      </c>
      <c r="AA38" s="50"/>
    </row>
    <row r="39" spans="1:27" ht="15.75" customHeight="1" x14ac:dyDescent="0.3">
      <c r="A39" s="20" t="s">
        <v>45</v>
      </c>
      <c r="B39" s="21" t="s">
        <v>47</v>
      </c>
      <c r="C39" s="47">
        <v>3171</v>
      </c>
      <c r="D39" s="22">
        <v>772302300</v>
      </c>
      <c r="E39" s="48">
        <v>20</v>
      </c>
      <c r="F39" s="22">
        <v>11959400</v>
      </c>
      <c r="G39" s="86">
        <f t="shared" ref="G39:H39" si="136">C39+E39</f>
        <v>3191</v>
      </c>
      <c r="H39" s="26">
        <f t="shared" si="136"/>
        <v>784261700</v>
      </c>
      <c r="I39" s="47">
        <v>135</v>
      </c>
      <c r="J39" s="22">
        <v>89459600</v>
      </c>
      <c r="K39" s="48">
        <v>29</v>
      </c>
      <c r="L39" s="22">
        <v>34145200</v>
      </c>
      <c r="M39" s="87">
        <f t="shared" ref="M39:N39" si="137">I39+K39</f>
        <v>164</v>
      </c>
      <c r="N39" s="26">
        <f t="shared" si="137"/>
        <v>123604800</v>
      </c>
      <c r="O39" s="88">
        <f t="shared" ref="O39:P39" si="138">G39+M39</f>
        <v>3355</v>
      </c>
      <c r="P39" s="26">
        <f t="shared" si="138"/>
        <v>907866500</v>
      </c>
      <c r="Q39" s="89"/>
      <c r="R39" s="47">
        <v>0</v>
      </c>
      <c r="S39" s="22">
        <v>0</v>
      </c>
      <c r="T39" s="48">
        <v>0</v>
      </c>
      <c r="U39" s="22">
        <v>0</v>
      </c>
      <c r="V39" s="48">
        <v>94</v>
      </c>
      <c r="W39" s="22">
        <v>8535000</v>
      </c>
      <c r="X39" s="48">
        <f t="shared" ref="X39:Y39" si="139">R39+T39+V39</f>
        <v>94</v>
      </c>
      <c r="Y39" s="26">
        <f t="shared" si="139"/>
        <v>8535000</v>
      </c>
      <c r="AA39" s="50"/>
    </row>
    <row r="40" spans="1:27" ht="15.75" customHeight="1" x14ac:dyDescent="0.3">
      <c r="A40" s="20" t="s">
        <v>48</v>
      </c>
      <c r="B40" s="21" t="s">
        <v>49</v>
      </c>
      <c r="C40" s="47">
        <v>10187</v>
      </c>
      <c r="D40" s="22">
        <v>1343110300</v>
      </c>
      <c r="E40" s="48">
        <v>98</v>
      </c>
      <c r="F40" s="22">
        <v>69406800</v>
      </c>
      <c r="G40" s="86">
        <f t="shared" ref="G40:H40" si="140">C40+E40</f>
        <v>10285</v>
      </c>
      <c r="H40" s="26">
        <f t="shared" si="140"/>
        <v>1412517100</v>
      </c>
      <c r="I40" s="47">
        <v>739</v>
      </c>
      <c r="J40" s="22">
        <v>349648500</v>
      </c>
      <c r="K40" s="48">
        <v>366</v>
      </c>
      <c r="L40" s="22">
        <v>875759700</v>
      </c>
      <c r="M40" s="87">
        <f t="shared" ref="M40:N40" si="141">I40+K40</f>
        <v>1105</v>
      </c>
      <c r="N40" s="26">
        <f t="shared" si="141"/>
        <v>1225408200</v>
      </c>
      <c r="O40" s="88">
        <f t="shared" ref="O40:P40" si="142">G40+M40</f>
        <v>11390</v>
      </c>
      <c r="P40" s="26">
        <f t="shared" si="142"/>
        <v>2637925300</v>
      </c>
      <c r="Q40" s="89"/>
      <c r="R40" s="47">
        <v>0</v>
      </c>
      <c r="S40" s="22">
        <v>0</v>
      </c>
      <c r="T40" s="48">
        <v>0</v>
      </c>
      <c r="U40" s="22">
        <v>0</v>
      </c>
      <c r="V40" s="48">
        <v>447</v>
      </c>
      <c r="W40" s="22">
        <v>87197400</v>
      </c>
      <c r="X40" s="48">
        <f t="shared" ref="X40:Y40" si="143">R40+T40+V40</f>
        <v>447</v>
      </c>
      <c r="Y40" s="26">
        <f t="shared" si="143"/>
        <v>87197400</v>
      </c>
      <c r="AA40" s="50"/>
    </row>
    <row r="41" spans="1:27" ht="15.75" customHeight="1" x14ac:dyDescent="0.3">
      <c r="A41" s="20" t="s">
        <v>48</v>
      </c>
      <c r="B41" s="21" t="s">
        <v>50</v>
      </c>
      <c r="C41" s="47">
        <v>7309</v>
      </c>
      <c r="D41" s="22">
        <v>975344850</v>
      </c>
      <c r="E41" s="48">
        <v>80</v>
      </c>
      <c r="F41" s="22">
        <v>68948400</v>
      </c>
      <c r="G41" s="86">
        <f t="shared" ref="G41:H41" si="144">C41+E41</f>
        <v>7389</v>
      </c>
      <c r="H41" s="26">
        <f t="shared" si="144"/>
        <v>1044293250</v>
      </c>
      <c r="I41" s="47">
        <v>343</v>
      </c>
      <c r="J41" s="22">
        <v>127167150</v>
      </c>
      <c r="K41" s="48">
        <v>98</v>
      </c>
      <c r="L41" s="22">
        <v>250115600</v>
      </c>
      <c r="M41" s="87">
        <f t="shared" ref="M41:N41" si="145">I41+K41</f>
        <v>441</v>
      </c>
      <c r="N41" s="26">
        <f t="shared" si="145"/>
        <v>377282750</v>
      </c>
      <c r="O41" s="88">
        <f t="shared" ref="O41:P41" si="146">G41+M41</f>
        <v>7830</v>
      </c>
      <c r="P41" s="26">
        <f t="shared" si="146"/>
        <v>1421576000</v>
      </c>
      <c r="Q41" s="89"/>
      <c r="R41" s="47">
        <v>0</v>
      </c>
      <c r="S41" s="22">
        <v>0</v>
      </c>
      <c r="T41" s="48">
        <v>0</v>
      </c>
      <c r="U41" s="22">
        <v>0</v>
      </c>
      <c r="V41" s="48">
        <v>246</v>
      </c>
      <c r="W41" s="22">
        <v>14225300</v>
      </c>
      <c r="X41" s="48">
        <f t="shared" ref="X41:Y41" si="147">R41+T41+V41</f>
        <v>246</v>
      </c>
      <c r="Y41" s="26">
        <f t="shared" si="147"/>
        <v>14225300</v>
      </c>
      <c r="AA41" s="50"/>
    </row>
    <row r="42" spans="1:27" ht="15.75" customHeight="1" x14ac:dyDescent="0.3">
      <c r="A42" s="28" t="s">
        <v>76</v>
      </c>
      <c r="B42" s="29" t="s">
        <v>77</v>
      </c>
      <c r="C42" s="56">
        <v>958</v>
      </c>
      <c r="D42" s="31">
        <v>195536400</v>
      </c>
      <c r="E42" s="57">
        <v>0</v>
      </c>
      <c r="F42" s="31">
        <v>0</v>
      </c>
      <c r="G42" s="90">
        <f t="shared" ref="G42:H42" si="148">C42+E42</f>
        <v>958</v>
      </c>
      <c r="H42" s="32">
        <f t="shared" si="148"/>
        <v>195536400</v>
      </c>
      <c r="I42" s="56">
        <v>40</v>
      </c>
      <c r="J42" s="31">
        <v>19639300</v>
      </c>
      <c r="K42" s="57">
        <v>9</v>
      </c>
      <c r="L42" s="31">
        <v>223815300</v>
      </c>
      <c r="M42" s="91">
        <f t="shared" ref="M42:N42" si="149">I42+K42</f>
        <v>49</v>
      </c>
      <c r="N42" s="32">
        <f t="shared" si="149"/>
        <v>243454600</v>
      </c>
      <c r="O42" s="92">
        <f t="shared" ref="O42:P42" si="150">G42+M42</f>
        <v>1007</v>
      </c>
      <c r="P42" s="32">
        <f t="shared" si="150"/>
        <v>438991000</v>
      </c>
      <c r="Q42" s="89"/>
      <c r="R42" s="56">
        <v>112</v>
      </c>
      <c r="S42" s="31">
        <v>28546300</v>
      </c>
      <c r="T42" s="57">
        <v>273</v>
      </c>
      <c r="U42" s="31">
        <v>4021200</v>
      </c>
      <c r="V42" s="57">
        <v>212</v>
      </c>
      <c r="W42" s="31">
        <v>6783600</v>
      </c>
      <c r="X42" s="57">
        <f t="shared" ref="X42:Y42" si="151">R42+T42+V42</f>
        <v>597</v>
      </c>
      <c r="Y42" s="32">
        <f t="shared" si="151"/>
        <v>39351100</v>
      </c>
      <c r="AA42" s="50"/>
    </row>
    <row r="43" spans="1:27" ht="15.75" customHeight="1" x14ac:dyDescent="0.25"/>
    <row r="44" spans="1:27" ht="15.75" customHeight="1" x14ac:dyDescent="0.25"/>
    <row r="45" spans="1:27" ht="15.75" customHeight="1" x14ac:dyDescent="0.25"/>
    <row r="46" spans="1:27" ht="15.75" customHeight="1" x14ac:dyDescent="0.25"/>
    <row r="47" spans="1:27" ht="15.75" customHeight="1" x14ac:dyDescent="0.25"/>
    <row r="48" spans="1:2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B3"/>
    <mergeCell ref="C3:H3"/>
    <mergeCell ref="I3:N3"/>
    <mergeCell ref="O3:P3"/>
    <mergeCell ref="R3:Y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(SFD 4-5 Bed) Break Even</vt:lpstr>
      <vt:lpstr>(SFD 4-5 Bed) Muni Break Even</vt:lpstr>
      <vt:lpstr>(SFD 3 Bed) Break Even</vt:lpstr>
      <vt:lpstr>(SFD 3 Bed) Muni Break Even</vt:lpstr>
      <vt:lpstr>(SFA 3 Bed) Break Even</vt:lpstr>
      <vt:lpstr>(SFA 3 Bed) Muni Break Even</vt:lpstr>
      <vt:lpstr> (SFA 2.5 Bed) Break Even</vt:lpstr>
      <vt:lpstr>Adjusted (SFA 2.0 Bed) Break Ev</vt:lpstr>
      <vt:lpstr> (SFA 2.5 Bed) Muni Break Even</vt:lpstr>
      <vt:lpstr>Adjusted (SFA 2.0 Bed) Muni Bre</vt:lpstr>
      <vt:lpstr>(1.5 Bed Multi) Break Even</vt:lpstr>
      <vt:lpstr>Adjusted(1.5 Bed Multi) Break E</vt:lpstr>
      <vt:lpstr>(1.5 Bed Multi) Muni Break Even</vt:lpstr>
      <vt:lpstr>Adjusted (1.5 Bed Multi) Muni B</vt:lpstr>
      <vt:lpstr>(1 Bed Multi) Muni B</vt:lpstr>
      <vt:lpstr>(2 Bed Multi) Break Even</vt:lpstr>
      <vt:lpstr>Property Tax Base - Equalized</vt:lpstr>
      <vt:lpstr>Property Tax Base - % Breakdown</vt:lpstr>
      <vt:lpstr>Property Tax Base - # Parcels</vt:lpstr>
      <vt:lpstr>Property Tax Base - % Parcels</vt:lpstr>
      <vt:lpstr>Composition of EQ Tax Rate</vt:lpstr>
      <vt:lpstr>% Breakdown of EQ Tax Rate</vt:lpstr>
      <vt:lpstr>Composition of Mun. Revenues</vt:lpstr>
      <vt:lpstr>Tax Levies and EQ Tax Rates</vt:lpstr>
      <vt:lpstr># and Assessed Value of Parcels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Listokin</dc:creator>
  <cp:lastModifiedBy>Umer Farooq</cp:lastModifiedBy>
  <cp:lastPrinted>2023-07-31T15:18:07Z</cp:lastPrinted>
  <dcterms:created xsi:type="dcterms:W3CDTF">2023-07-31T15:25:32Z</dcterms:created>
  <dcterms:modified xsi:type="dcterms:W3CDTF">2024-05-20T19:20:01Z</dcterms:modified>
</cp:coreProperties>
</file>