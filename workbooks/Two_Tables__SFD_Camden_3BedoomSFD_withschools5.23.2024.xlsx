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DATABASE WORK 7_30_23\DATABASE WORK 7_30_23\"/>
    </mc:Choice>
  </mc:AlternateContent>
  <xr:revisionPtr revIDLastSave="0" documentId="13_ncr:1_{6D39061A-6747-4B0B-9A7D-0BD32C917F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1_Muni" sheetId="9" r:id="rId1"/>
    <sheet name="Table2_Muni" sheetId="10" r:id="rId2"/>
    <sheet name="Table1_school" sheetId="11" r:id="rId3"/>
    <sheet name="Table2_school" sheetId="1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" i="11" l="1"/>
  <c r="P13" i="11" s="1"/>
  <c r="R13" i="11" s="1"/>
  <c r="N12" i="11"/>
  <c r="N11" i="11"/>
  <c r="P11" i="11" s="1"/>
  <c r="R11" i="11" s="1"/>
  <c r="L14" i="9"/>
  <c r="N14" i="9" s="1"/>
  <c r="P14" i="9" s="1"/>
  <c r="L13" i="9"/>
  <c r="N13" i="9" s="1"/>
  <c r="P13" i="9" s="1"/>
  <c r="L12" i="9"/>
  <c r="L11" i="9"/>
  <c r="N11" i="9" s="1"/>
  <c r="P11" i="9" s="1"/>
  <c r="N10" i="9"/>
  <c r="P10" i="9" s="1"/>
  <c r="L10" i="9"/>
  <c r="N14" i="12" l="1"/>
  <c r="P14" i="12" s="1"/>
  <c r="R14" i="12" s="1"/>
  <c r="C14" i="12" s="1"/>
  <c r="E14" i="12" s="1"/>
  <c r="F14" i="12" s="1"/>
  <c r="D14" i="12"/>
  <c r="N13" i="12"/>
  <c r="P13" i="12" s="1"/>
  <c r="R13" i="12" s="1"/>
  <c r="C13" i="12" s="1"/>
  <c r="D13" i="12"/>
  <c r="N12" i="12"/>
  <c r="C12" i="12" s="1"/>
  <c r="E12" i="12" s="1"/>
  <c r="F12" i="12" s="1"/>
  <c r="D12" i="12"/>
  <c r="N11" i="12"/>
  <c r="P11" i="12" s="1"/>
  <c r="R11" i="12" s="1"/>
  <c r="C11" i="12" s="1"/>
  <c r="D11" i="12"/>
  <c r="N10" i="12"/>
  <c r="P10" i="12" s="1"/>
  <c r="R10" i="12" s="1"/>
  <c r="C10" i="12" s="1"/>
  <c r="E10" i="12" s="1"/>
  <c r="F10" i="12" s="1"/>
  <c r="D10" i="12"/>
  <c r="N14" i="11"/>
  <c r="P14" i="11" s="1"/>
  <c r="R14" i="11" s="1"/>
  <c r="C14" i="11" s="1"/>
  <c r="D14" i="11"/>
  <c r="C13" i="11"/>
  <c r="E13" i="11" s="1"/>
  <c r="F13" i="11" s="1"/>
  <c r="D13" i="11"/>
  <c r="D12" i="11"/>
  <c r="C12" i="11"/>
  <c r="E12" i="11" s="1"/>
  <c r="F12" i="11" s="1"/>
  <c r="D11" i="11"/>
  <c r="C11" i="11"/>
  <c r="N10" i="11"/>
  <c r="P10" i="11" s="1"/>
  <c r="R10" i="11" s="1"/>
  <c r="C10" i="11" s="1"/>
  <c r="D10" i="11"/>
  <c r="E13" i="12" l="1"/>
  <c r="F13" i="12" s="1"/>
  <c r="E11" i="12"/>
  <c r="F11" i="12" s="1"/>
  <c r="J11" i="12" s="1"/>
  <c r="E14" i="11"/>
  <c r="F14" i="11" s="1"/>
  <c r="E11" i="11"/>
  <c r="F11" i="11" s="1"/>
  <c r="H11" i="11" s="1"/>
  <c r="E10" i="11"/>
  <c r="F10" i="11" s="1"/>
  <c r="H10" i="11" s="1"/>
  <c r="J13" i="12"/>
  <c r="H13" i="12"/>
  <c r="H11" i="12"/>
  <c r="H10" i="12"/>
  <c r="J10" i="12"/>
  <c r="J12" i="12"/>
  <c r="H12" i="12"/>
  <c r="H14" i="12"/>
  <c r="J14" i="12"/>
  <c r="J10" i="11"/>
  <c r="J11" i="11"/>
  <c r="J13" i="11"/>
  <c r="H13" i="11"/>
  <c r="J12" i="11"/>
  <c r="H12" i="11"/>
  <c r="H14" i="11"/>
  <c r="J14" i="11"/>
  <c r="L14" i="10" l="1"/>
  <c r="N14" i="10" s="1"/>
  <c r="P14" i="10" s="1"/>
  <c r="C14" i="10" s="1"/>
  <c r="D14" i="10" s="1"/>
  <c r="L13" i="10"/>
  <c r="N13" i="10" s="1"/>
  <c r="P13" i="10" s="1"/>
  <c r="C13" i="10" s="1"/>
  <c r="D13" i="10" s="1"/>
  <c r="L12" i="10"/>
  <c r="C12" i="10" s="1"/>
  <c r="D12" i="10" s="1"/>
  <c r="L11" i="10"/>
  <c r="N11" i="10" s="1"/>
  <c r="P11" i="10" s="1"/>
  <c r="C11" i="10" s="1"/>
  <c r="D11" i="10" s="1"/>
  <c r="L10" i="10"/>
  <c r="N10" i="10" s="1"/>
  <c r="P10" i="10" s="1"/>
  <c r="C10" i="10" s="1"/>
  <c r="D10" i="10" s="1"/>
  <c r="C14" i="9"/>
  <c r="D14" i="9" s="1"/>
  <c r="C13" i="9"/>
  <c r="D13" i="9" s="1"/>
  <c r="C12" i="9"/>
  <c r="D12" i="9" s="1"/>
  <c r="C11" i="9"/>
  <c r="D11" i="9" s="1"/>
  <c r="C10" i="9"/>
  <c r="D10" i="9" s="1"/>
  <c r="H12" i="10" l="1"/>
  <c r="F12" i="10"/>
  <c r="F11" i="10"/>
  <c r="H11" i="10"/>
  <c r="H13" i="10"/>
  <c r="F13" i="10"/>
  <c r="F10" i="10"/>
  <c r="H10" i="10"/>
  <c r="H14" i="10"/>
  <c r="F14" i="10"/>
  <c r="H12" i="9"/>
  <c r="F12" i="9"/>
  <c r="F10" i="9"/>
  <c r="H10" i="9"/>
  <c r="F13" i="9"/>
  <c r="H13" i="9"/>
  <c r="F11" i="9"/>
  <c r="H11" i="9"/>
  <c r="H14" i="9"/>
  <c r="F14" i="9"/>
</calcChain>
</file>

<file path=xl/sharedStrings.xml><?xml version="1.0" encoding="utf-8"?>
<sst xmlns="http://schemas.openxmlformats.org/spreadsheetml/2006/main" count="154" uniqueCount="45">
  <si>
    <t>Category</t>
  </si>
  <si>
    <t>Multiplier</t>
  </si>
  <si>
    <t>Household Size</t>
  </si>
  <si>
    <t>School Age Children</t>
  </si>
  <si>
    <t>Location</t>
  </si>
  <si>
    <t>Fiscal Analysis</t>
  </si>
  <si>
    <t>County</t>
  </si>
  <si>
    <t>Municipality</t>
  </si>
  <si>
    <t xml:space="preserve"> Municipal Tax Supported Cost</t>
  </si>
  <si>
    <t>Market Value "Break Even"</t>
  </si>
  <si>
    <t> Imputed Average (2023) Market Value of Potential Buyout Properties</t>
  </si>
  <si>
    <t>Fiscal Surplus or Deficit (Based on Average Buyout Market Value)</t>
  </si>
  <si>
    <t>Average 2023 Residential Value in Buyout Community</t>
  </si>
  <si>
    <t>Fiscal Surplus or Deficit (Based on Average Residential Value)</t>
  </si>
  <si>
    <t>Percent of Total Parcels that are Residential</t>
  </si>
  <si>
    <t>Percent of Total Assessed Value that is Residential</t>
  </si>
  <si>
    <t>Average of Residential Parcels % and Assessed Value %</t>
  </si>
  <si>
    <t>Total Municipal Property Tax Levy 2023</t>
  </si>
  <si>
    <t>2022 Municipal Population</t>
  </si>
  <si>
    <t>2023 Municipal Property Tax Supported Cost Per Person</t>
  </si>
  <si>
    <t>Camden</t>
  </si>
  <si>
    <t>Bellmawr</t>
  </si>
  <si>
    <t>Brooklawn</t>
  </si>
  <si>
    <t>Gloucester City</t>
  </si>
  <si>
    <t>Gloucester</t>
  </si>
  <si>
    <t>Westville</t>
  </si>
  <si>
    <t>Municipal Public Finance Data</t>
  </si>
  <si>
    <t>Municipal Equalized Property Tax Rate</t>
  </si>
  <si>
    <t>Estimated Residential Share of Total Municipal Property Tax Levy 2023</t>
  </si>
  <si>
    <t>Mt Ephraim</t>
  </si>
  <si>
    <t>Municipal and School Public Finanace Data</t>
  </si>
  <si>
    <t xml:space="preserve">School Tax Supported Cost </t>
  </si>
  <si>
    <t>Total Tax Supported Cost</t>
  </si>
  <si>
    <t>Total Municipal + School Equalized Property Tax Rate</t>
  </si>
  <si>
    <t>Total Municipal Property Tax Levy</t>
  </si>
  <si>
    <t>Estimated Residential Share of Total Municipal Property Tax Levy</t>
  </si>
  <si>
    <t>2020 Municipal Population</t>
  </si>
  <si>
    <t>2020 Municipal Property Tax Supported Cost Per Person</t>
  </si>
  <si>
    <t>Total School Property Tax Levy</t>
  </si>
  <si>
    <t xml:space="preserve">2020 Total School Enrollment </t>
  </si>
  <si>
    <t>2020 School Property Tax Supported Cost Per Pupil</t>
  </si>
  <si>
    <t>2023 Municipal Fiscal Impact Break Even Analysis for Single Family Detached (3 Bedroom) in Selected NJ Communities</t>
  </si>
  <si>
    <t>Single Family Detached (3 Bedroom) with Revised Updated 2021 Multipliers</t>
  </si>
  <si>
    <t>3 Bedroom Single Family Detached Municipal"Break Even Analysis"</t>
  </si>
  <si>
    <t>3 Bedroom Single Family Detached "Break Even Analysis"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</si>
</sst>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&quot;$&quot;#,##0"/>
    <numFmt numFmtId="165" formatCode="&quot;$&quot;#,##0.00"/>
    <numFmt numFmtId="166" formatCode="0.000_)"/>
    <numFmt numFmtId="167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left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/>
    <xf numFmtId="3" fontId="6" fillId="0" borderId="0" xfId="0" applyNumberFormat="1" applyFont="1"/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164" fontId="6" fillId="0" borderId="17" xfId="0" applyNumberFormat="1" applyFont="1" applyBorder="1" applyAlignment="1">
      <alignment horizontal="right"/>
    </xf>
    <xf numFmtId="164" fontId="6" fillId="0" borderId="17" xfId="0" applyNumberFormat="1" applyFont="1" applyBorder="1"/>
    <xf numFmtId="3" fontId="6" fillId="0" borderId="17" xfId="0" applyNumberFormat="1" applyFont="1" applyBorder="1"/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65" fontId="6" fillId="0" borderId="23" xfId="0" applyNumberFormat="1" applyFont="1" applyBorder="1" applyAlignment="1">
      <alignment horizontal="right"/>
    </xf>
    <xf numFmtId="166" fontId="6" fillId="0" borderId="0" xfId="0" applyNumberFormat="1" applyFont="1"/>
    <xf numFmtId="10" fontId="6" fillId="0" borderId="0" xfId="0" applyNumberFormat="1" applyFont="1"/>
    <xf numFmtId="164" fontId="6" fillId="0" borderId="13" xfId="0" applyNumberFormat="1" applyFont="1" applyBorder="1"/>
    <xf numFmtId="165" fontId="6" fillId="0" borderId="24" xfId="0" applyNumberFormat="1" applyFont="1" applyBorder="1" applyAlignment="1">
      <alignment horizontal="right"/>
    </xf>
    <xf numFmtId="166" fontId="6" fillId="0" borderId="17" xfId="0" applyNumberFormat="1" applyFont="1" applyBorder="1"/>
    <xf numFmtId="10" fontId="6" fillId="0" borderId="17" xfId="0" applyNumberFormat="1" applyFont="1" applyBorder="1"/>
    <xf numFmtId="164" fontId="6" fillId="0" borderId="16" xfId="0" applyNumberFormat="1" applyFont="1" applyBorder="1"/>
    <xf numFmtId="0" fontId="3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7" xfId="0" applyFont="1" applyBorder="1" applyAlignment="1">
      <alignment horizontal="left"/>
    </xf>
    <xf numFmtId="165" fontId="6" fillId="0" borderId="14" xfId="0" applyNumberFormat="1" applyFont="1" applyBorder="1" applyAlignment="1">
      <alignment horizontal="right"/>
    </xf>
    <xf numFmtId="165" fontId="6" fillId="0" borderId="13" xfId="0" applyNumberFormat="1" applyFont="1" applyBorder="1" applyAlignment="1">
      <alignment horizontal="right"/>
    </xf>
    <xf numFmtId="165" fontId="6" fillId="0" borderId="15" xfId="0" applyNumberFormat="1" applyFont="1" applyBorder="1" applyAlignment="1">
      <alignment horizontal="right"/>
    </xf>
    <xf numFmtId="165" fontId="6" fillId="0" borderId="16" xfId="0" applyNumberFormat="1" applyFont="1" applyBorder="1" applyAlignment="1">
      <alignment horizontal="right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7" fillId="0" borderId="0" xfId="0" applyFont="1"/>
    <xf numFmtId="0" fontId="6" fillId="0" borderId="13" xfId="0" applyFont="1" applyBorder="1" applyAlignment="1">
      <alignment horizontal="left"/>
    </xf>
    <xf numFmtId="0" fontId="1" fillId="0" borderId="0" xfId="2"/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5" fillId="0" borderId="5" xfId="2" applyFont="1" applyBorder="1" applyAlignment="1">
      <alignment horizontal="left" vertical="center"/>
    </xf>
    <xf numFmtId="0" fontId="5" fillId="0" borderId="7" xfId="2" applyFont="1" applyBorder="1" applyAlignment="1">
      <alignment horizontal="left"/>
    </xf>
    <xf numFmtId="0" fontId="5" fillId="0" borderId="0" xfId="2" applyFont="1" applyAlignment="1">
      <alignment horizontal="center"/>
    </xf>
    <xf numFmtId="0" fontId="5" fillId="0" borderId="9" xfId="2" applyFont="1" applyBorder="1"/>
    <xf numFmtId="0" fontId="3" fillId="0" borderId="10" xfId="2" applyFont="1" applyBorder="1" applyAlignment="1">
      <alignment horizontal="center" vertical="center"/>
    </xf>
    <xf numFmtId="0" fontId="3" fillId="0" borderId="33" xfId="2" applyFont="1" applyBorder="1" applyAlignment="1">
      <alignment horizontal="center" vertical="center" wrapText="1"/>
    </xf>
    <xf numFmtId="0" fontId="3" fillId="0" borderId="34" xfId="2" applyFont="1" applyBorder="1" applyAlignment="1">
      <alignment horizontal="center" vertical="center" wrapText="1"/>
    </xf>
    <xf numFmtId="0" fontId="3" fillId="0" borderId="35" xfId="2" applyFont="1" applyBorder="1" applyAlignment="1">
      <alignment horizontal="center" vertical="center" wrapText="1"/>
    </xf>
    <xf numFmtId="0" fontId="3" fillId="0" borderId="36" xfId="2" applyFont="1" applyBorder="1" applyAlignment="1">
      <alignment horizontal="center" vertical="center" wrapText="1"/>
    </xf>
    <xf numFmtId="0" fontId="3" fillId="0" borderId="37" xfId="2" applyFont="1" applyBorder="1" applyAlignment="1">
      <alignment horizontal="center" vertical="center" wrapText="1"/>
    </xf>
    <xf numFmtId="0" fontId="3" fillId="0" borderId="38" xfId="2" applyFont="1" applyBorder="1" applyAlignment="1">
      <alignment horizontal="center" vertical="center" wrapText="1"/>
    </xf>
    <xf numFmtId="0" fontId="3" fillId="0" borderId="39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6" fillId="0" borderId="10" xfId="2" applyFont="1" applyBorder="1" applyAlignment="1">
      <alignment horizontal="left"/>
    </xf>
    <xf numFmtId="0" fontId="6" fillId="0" borderId="12" xfId="2" applyFont="1" applyBorder="1" applyAlignment="1">
      <alignment horizontal="left"/>
    </xf>
    <xf numFmtId="164" fontId="6" fillId="0" borderId="0" xfId="2" applyNumberFormat="1" applyFont="1" applyAlignment="1">
      <alignment horizontal="right"/>
    </xf>
    <xf numFmtId="164" fontId="6" fillId="0" borderId="40" xfId="2" applyNumberFormat="1" applyFont="1" applyBorder="1" applyAlignment="1">
      <alignment horizontal="right"/>
    </xf>
    <xf numFmtId="165" fontId="1" fillId="0" borderId="0" xfId="2" applyNumberFormat="1"/>
    <xf numFmtId="165" fontId="1" fillId="0" borderId="40" xfId="2" applyNumberFormat="1" applyBorder="1"/>
    <xf numFmtId="167" fontId="1" fillId="0" borderId="0" xfId="3" applyNumberFormat="1" applyFont="1" applyBorder="1"/>
    <xf numFmtId="10" fontId="1" fillId="0" borderId="0" xfId="3" applyNumberFormat="1" applyFont="1" applyBorder="1"/>
    <xf numFmtId="164" fontId="6" fillId="0" borderId="0" xfId="2" applyNumberFormat="1" applyFont="1"/>
    <xf numFmtId="3" fontId="6" fillId="0" borderId="0" xfId="2" applyNumberFormat="1" applyFont="1"/>
    <xf numFmtId="0" fontId="8" fillId="0" borderId="0" xfId="2" applyFont="1"/>
    <xf numFmtId="0" fontId="8" fillId="0" borderId="13" xfId="2" applyFont="1" applyBorder="1"/>
    <xf numFmtId="0" fontId="6" fillId="0" borderId="14" xfId="2" applyFont="1" applyBorder="1" applyAlignment="1">
      <alignment horizontal="left"/>
    </xf>
    <xf numFmtId="0" fontId="6" fillId="0" borderId="13" xfId="2" applyFont="1" applyBorder="1" applyAlignment="1">
      <alignment horizontal="left"/>
    </xf>
    <xf numFmtId="164" fontId="6" fillId="0" borderId="41" xfId="2" applyNumberFormat="1" applyFont="1" applyBorder="1" applyAlignment="1">
      <alignment horizontal="right"/>
    </xf>
    <xf numFmtId="0" fontId="6" fillId="0" borderId="15" xfId="2" applyFont="1" applyBorder="1" applyAlignment="1">
      <alignment horizontal="left"/>
    </xf>
    <xf numFmtId="0" fontId="6" fillId="0" borderId="16" xfId="2" applyFont="1" applyBorder="1" applyAlignment="1">
      <alignment horizontal="left"/>
    </xf>
    <xf numFmtId="164" fontId="6" fillId="0" borderId="17" xfId="2" applyNumberFormat="1" applyFont="1" applyBorder="1" applyAlignment="1">
      <alignment horizontal="right"/>
    </xf>
    <xf numFmtId="164" fontId="6" fillId="0" borderId="42" xfId="2" applyNumberFormat="1" applyFont="1" applyBorder="1" applyAlignment="1">
      <alignment horizontal="right"/>
    </xf>
    <xf numFmtId="165" fontId="1" fillId="0" borderId="17" xfId="2" applyNumberFormat="1" applyBorder="1"/>
    <xf numFmtId="165" fontId="1" fillId="0" borderId="42" xfId="2" applyNumberFormat="1" applyBorder="1"/>
    <xf numFmtId="0" fontId="1" fillId="0" borderId="17" xfId="2" applyBorder="1"/>
    <xf numFmtId="167" fontId="1" fillId="0" borderId="17" xfId="3" applyNumberFormat="1" applyFont="1" applyBorder="1"/>
    <xf numFmtId="10" fontId="1" fillId="0" borderId="17" xfId="3" applyNumberFormat="1" applyFont="1" applyBorder="1"/>
    <xf numFmtId="164" fontId="6" fillId="0" borderId="17" xfId="2" applyNumberFormat="1" applyFont="1" applyBorder="1"/>
    <xf numFmtId="3" fontId="6" fillId="0" borderId="17" xfId="2" applyNumberFormat="1" applyFont="1" applyBorder="1"/>
    <xf numFmtId="0" fontId="8" fillId="0" borderId="17" xfId="2" applyFont="1" applyBorder="1"/>
    <xf numFmtId="0" fontId="8" fillId="0" borderId="16" xfId="2" applyFont="1" applyBorder="1"/>
    <xf numFmtId="10" fontId="6" fillId="0" borderId="0" xfId="3" applyNumberFormat="1" applyFont="1" applyBorder="1"/>
    <xf numFmtId="6" fontId="6" fillId="0" borderId="13" xfId="2" applyNumberFormat="1" applyFont="1" applyBorder="1"/>
    <xf numFmtId="0" fontId="3" fillId="0" borderId="12" xfId="2" applyFont="1" applyBorder="1" applyAlignment="1">
      <alignment horizontal="center" vertical="center"/>
    </xf>
    <xf numFmtId="0" fontId="3" fillId="0" borderId="43" xfId="2" applyFont="1" applyBorder="1" applyAlignment="1">
      <alignment horizontal="center" vertical="center" wrapText="1"/>
    </xf>
    <xf numFmtId="164" fontId="6" fillId="0" borderId="14" xfId="2" applyNumberFormat="1" applyFont="1" applyBorder="1" applyAlignment="1">
      <alignment horizontal="right"/>
    </xf>
    <xf numFmtId="165" fontId="1" fillId="0" borderId="44" xfId="2" applyNumberFormat="1" applyBorder="1"/>
    <xf numFmtId="164" fontId="6" fillId="0" borderId="13" xfId="2" applyNumberFormat="1" applyFont="1" applyBorder="1" applyAlignment="1">
      <alignment horizontal="right"/>
    </xf>
    <xf numFmtId="164" fontId="6" fillId="0" borderId="15" xfId="2" applyNumberFormat="1" applyFont="1" applyBorder="1" applyAlignment="1">
      <alignment horizontal="right"/>
    </xf>
    <xf numFmtId="164" fontId="6" fillId="0" borderId="16" xfId="2" applyNumberFormat="1" applyFont="1" applyBorder="1" applyAlignment="1">
      <alignment horizontal="right"/>
    </xf>
    <xf numFmtId="0" fontId="5" fillId="0" borderId="0" xfId="2" applyFont="1"/>
    <xf numFmtId="0" fontId="3" fillId="0" borderId="26" xfId="2" applyFont="1" applyBorder="1" applyAlignment="1">
      <alignment horizontal="center" vertical="center"/>
    </xf>
    <xf numFmtId="164" fontId="6" fillId="0" borderId="44" xfId="2" applyNumberFormat="1" applyFont="1" applyBorder="1" applyAlignment="1">
      <alignment horizontal="right"/>
    </xf>
    <xf numFmtId="0" fontId="6" fillId="0" borderId="10" xfId="2" applyFont="1" applyBorder="1"/>
    <xf numFmtId="10" fontId="6" fillId="0" borderId="25" xfId="3" applyNumberFormat="1" applyFont="1" applyBorder="1"/>
    <xf numFmtId="164" fontId="6" fillId="0" borderId="25" xfId="2" applyNumberFormat="1" applyFont="1" applyBorder="1"/>
    <xf numFmtId="3" fontId="6" fillId="0" borderId="25" xfId="2" applyNumberFormat="1" applyFont="1" applyBorder="1"/>
    <xf numFmtId="6" fontId="6" fillId="0" borderId="12" xfId="2" applyNumberFormat="1" applyFont="1" applyBorder="1"/>
    <xf numFmtId="0" fontId="6" fillId="0" borderId="14" xfId="2" applyFont="1" applyBorder="1"/>
    <xf numFmtId="0" fontId="6" fillId="0" borderId="15" xfId="2" applyFont="1" applyBorder="1"/>
    <xf numFmtId="10" fontId="6" fillId="0" borderId="17" xfId="3" applyNumberFormat="1" applyFont="1" applyBorder="1"/>
    <xf numFmtId="6" fontId="6" fillId="0" borderId="16" xfId="2" applyNumberFormat="1" applyFont="1" applyBorder="1"/>
    <xf numFmtId="0" fontId="3" fillId="0" borderId="29" xfId="2" applyFont="1" applyBorder="1" applyAlignment="1">
      <alignment horizontal="center" vertical="center"/>
    </xf>
    <xf numFmtId="165" fontId="6" fillId="0" borderId="10" xfId="2" applyNumberFormat="1" applyFont="1" applyBorder="1"/>
    <xf numFmtId="165" fontId="6" fillId="0" borderId="12" xfId="2" applyNumberFormat="1" applyFont="1" applyBorder="1"/>
    <xf numFmtId="165" fontId="6" fillId="0" borderId="14" xfId="2" applyNumberFormat="1" applyFont="1" applyBorder="1"/>
    <xf numFmtId="165" fontId="6" fillId="0" borderId="13" xfId="2" applyNumberFormat="1" applyFont="1" applyBorder="1"/>
    <xf numFmtId="165" fontId="6" fillId="0" borderId="15" xfId="2" applyNumberFormat="1" applyFont="1" applyBorder="1"/>
    <xf numFmtId="165" fontId="6" fillId="0" borderId="16" xfId="2" applyNumberFormat="1" applyFont="1" applyBorder="1"/>
    <xf numFmtId="0" fontId="3" fillId="0" borderId="1" xfId="0" applyFont="1" applyBorder="1" applyAlignment="1">
      <alignment horizontal="center" wrapText="1"/>
    </xf>
    <xf numFmtId="0" fontId="4" fillId="0" borderId="2" xfId="0" applyFont="1" applyBorder="1"/>
    <xf numFmtId="0" fontId="3" fillId="0" borderId="18" xfId="0" applyFont="1" applyBorder="1" applyAlignment="1">
      <alignment horizontal="center" vertical="center"/>
    </xf>
    <xf numFmtId="0" fontId="4" fillId="0" borderId="20" xfId="0" applyFont="1" applyBorder="1"/>
    <xf numFmtId="0" fontId="3" fillId="0" borderId="10" xfId="0" applyFont="1" applyBorder="1" applyAlignment="1">
      <alignment horizontal="center" vertical="center" wrapText="1"/>
    </xf>
    <xf numFmtId="0" fontId="4" fillId="0" borderId="12" xfId="0" applyFont="1" applyBorder="1"/>
    <xf numFmtId="0" fontId="3" fillId="0" borderId="25" xfId="0" applyFont="1" applyBorder="1" applyAlignment="1">
      <alignment horizontal="center" vertical="center"/>
    </xf>
    <xf numFmtId="0" fontId="4" fillId="0" borderId="25" xfId="0" applyFont="1" applyBorder="1"/>
    <xf numFmtId="0" fontId="4" fillId="0" borderId="11" xfId="0" applyFont="1" applyBorder="1"/>
    <xf numFmtId="0" fontId="3" fillId="0" borderId="19" xfId="0" applyFont="1" applyBorder="1" applyAlignment="1">
      <alignment horizontal="center" vertical="center"/>
    </xf>
    <xf numFmtId="0" fontId="4" fillId="0" borderId="21" xfId="0" applyFont="1" applyBorder="1"/>
    <xf numFmtId="0" fontId="3" fillId="0" borderId="20" xfId="0" applyFont="1" applyBorder="1" applyAlignment="1">
      <alignment horizontal="center" vertical="center"/>
    </xf>
    <xf numFmtId="0" fontId="3" fillId="0" borderId="30" xfId="2" applyFont="1" applyBorder="1" applyAlignment="1">
      <alignment horizontal="center" vertical="center"/>
    </xf>
    <xf numFmtId="0" fontId="4" fillId="0" borderId="32" xfId="2" applyFont="1" applyBorder="1"/>
    <xf numFmtId="0" fontId="3" fillId="0" borderId="26" xfId="2" applyFont="1" applyBorder="1" applyAlignment="1">
      <alignment horizontal="center" vertical="center"/>
    </xf>
    <xf numFmtId="0" fontId="4" fillId="0" borderId="27" xfId="2" applyFont="1" applyBorder="1"/>
    <xf numFmtId="0" fontId="4" fillId="0" borderId="29" xfId="2" applyFont="1" applyBorder="1"/>
    <xf numFmtId="0" fontId="3" fillId="0" borderId="32" xfId="2" applyFont="1" applyBorder="1" applyAlignment="1">
      <alignment horizontal="center" vertical="center"/>
    </xf>
    <xf numFmtId="0" fontId="4" fillId="0" borderId="31" xfId="2" applyFont="1" applyBorder="1"/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5" fontId="6" fillId="0" borderId="0" xfId="0" applyNumberFormat="1" applyFont="1"/>
    <xf numFmtId="165" fontId="6" fillId="0" borderId="17" xfId="0" applyNumberFormat="1" applyFont="1" applyBorder="1"/>
  </cellXfs>
  <cellStyles count="4">
    <cellStyle name="Normal" xfId="0" builtinId="0"/>
    <cellStyle name="Normal 2" xfId="2" xr:uid="{4FA4B96D-5D0B-46DB-AB93-559713796074}"/>
    <cellStyle name="Percent 2" xfId="1" xr:uid="{00000000-0005-0000-0000-000001000000}"/>
    <cellStyle name="Percent 3" xfId="3" xr:uid="{0A3EA276-F905-4524-BA3A-FF7E735BA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ityofgloucester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ityofgloucester.org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ityofgloucester.org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ityofgloucester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Z967"/>
  <sheetViews>
    <sheetView tabSelected="1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8" sqref="C8:D8"/>
    </sheetView>
  </sheetViews>
  <sheetFormatPr defaultColWidth="14.42578125" defaultRowHeight="15" customHeight="1" x14ac:dyDescent="0.25"/>
  <cols>
    <col min="1" max="2" width="20.85546875" customWidth="1"/>
    <col min="3" max="4" width="15.85546875" customWidth="1"/>
    <col min="5" max="6" width="15.85546875" hidden="1" customWidth="1"/>
    <col min="7" max="8" width="15.85546875" customWidth="1"/>
    <col min="9" max="16" width="15.85546875" hidden="1" customWidth="1"/>
    <col min="17" max="17" width="11.42578125" hidden="1" customWidth="1"/>
    <col min="18" max="26" width="11.42578125" customWidth="1"/>
  </cols>
  <sheetData>
    <row r="1" spans="1:26" ht="18.75" x14ac:dyDescent="0.3">
      <c r="A1" s="41" t="s">
        <v>41</v>
      </c>
    </row>
    <row r="3" spans="1:26" ht="30" customHeight="1" x14ac:dyDescent="0.25">
      <c r="A3" s="115" t="s">
        <v>42</v>
      </c>
      <c r="B3" s="116"/>
    </row>
    <row r="4" spans="1:26" x14ac:dyDescent="0.25">
      <c r="A4" s="1" t="s">
        <v>0</v>
      </c>
      <c r="B4" s="2" t="s">
        <v>1</v>
      </c>
    </row>
    <row r="5" spans="1:26" x14ac:dyDescent="0.25">
      <c r="A5" s="3" t="s">
        <v>2</v>
      </c>
      <c r="B5" s="4">
        <v>2.7570000000000001</v>
      </c>
    </row>
    <row r="6" spans="1:26" ht="15.75" thickBot="1" x14ac:dyDescent="0.3">
      <c r="A6" s="5" t="s">
        <v>3</v>
      </c>
      <c r="B6" s="6">
        <v>0.42499999999999999</v>
      </c>
    </row>
    <row r="7" spans="1:26" ht="15.75" thickBot="1" x14ac:dyDescent="0.3">
      <c r="A7" s="7"/>
      <c r="B7" s="7"/>
    </row>
    <row r="8" spans="1:26" ht="47.25" customHeight="1" thickBot="1" x14ac:dyDescent="0.3">
      <c r="A8" s="117" t="s">
        <v>4</v>
      </c>
      <c r="B8" s="118"/>
      <c r="C8" s="119" t="s">
        <v>43</v>
      </c>
      <c r="D8" s="120"/>
      <c r="E8" s="121" t="s">
        <v>5</v>
      </c>
      <c r="F8" s="122"/>
      <c r="G8" s="122"/>
      <c r="H8" s="123"/>
      <c r="I8" s="124" t="s">
        <v>26</v>
      </c>
      <c r="J8" s="118"/>
      <c r="K8" s="118"/>
      <c r="L8" s="118"/>
      <c r="M8" s="118"/>
      <c r="N8" s="118"/>
      <c r="O8" s="118"/>
      <c r="P8" s="125"/>
    </row>
    <row r="9" spans="1:26" ht="72.75" customHeight="1" thickBot="1" x14ac:dyDescent="0.3">
      <c r="A9" s="18" t="s">
        <v>6</v>
      </c>
      <c r="B9" s="29" t="s">
        <v>7</v>
      </c>
      <c r="C9" s="37" t="s">
        <v>8</v>
      </c>
      <c r="D9" s="40" t="s">
        <v>9</v>
      </c>
      <c r="E9" s="39" t="s">
        <v>10</v>
      </c>
      <c r="F9" s="39" t="s">
        <v>11</v>
      </c>
      <c r="G9" s="38" t="s">
        <v>12</v>
      </c>
      <c r="H9" s="40" t="s">
        <v>13</v>
      </c>
      <c r="I9" s="19" t="s">
        <v>27</v>
      </c>
      <c r="J9" s="19" t="s">
        <v>14</v>
      </c>
      <c r="K9" s="19" t="s">
        <v>15</v>
      </c>
      <c r="L9" s="19" t="s">
        <v>16</v>
      </c>
      <c r="M9" s="19" t="s">
        <v>17</v>
      </c>
      <c r="N9" s="19" t="s">
        <v>28</v>
      </c>
      <c r="O9" s="19" t="s">
        <v>18</v>
      </c>
      <c r="P9" s="20" t="s">
        <v>19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5">
      <c r="A10" s="9" t="s">
        <v>20</v>
      </c>
      <c r="B10" s="30" t="s">
        <v>21</v>
      </c>
      <c r="C10" s="33">
        <f t="shared" ref="C10:C14" si="0">$B$5*P10</f>
        <v>1998.7840014772919</v>
      </c>
      <c r="D10" s="34">
        <f t="shared" ref="D10:D14" si="1">C10/(I10/100)</f>
        <v>207127.87580075566</v>
      </c>
      <c r="E10" s="10">
        <v>129554</v>
      </c>
      <c r="F10" s="21">
        <f t="shared" ref="F10:F14" si="2">E10-D10</f>
        <v>-77573.875800755661</v>
      </c>
      <c r="G10" s="136">
        <v>187760</v>
      </c>
      <c r="H10" s="34">
        <f t="shared" ref="H10:H14" si="3">G10-D10</f>
        <v>-19367.875800755661</v>
      </c>
      <c r="I10" s="22">
        <v>0.96499999999999997</v>
      </c>
      <c r="J10" s="23">
        <v>0.95250000000000001</v>
      </c>
      <c r="K10" s="23">
        <v>0.77510000000000001</v>
      </c>
      <c r="L10" s="23">
        <f t="shared" ref="L10:L14" si="4">(J10+K10)/2</f>
        <v>0.86380000000000001</v>
      </c>
      <c r="M10" s="11">
        <v>9805512</v>
      </c>
      <c r="N10" s="11">
        <f t="shared" ref="N10:N14" si="5">L10*M10</f>
        <v>8470001.2655999996</v>
      </c>
      <c r="O10" s="12">
        <v>11683</v>
      </c>
      <c r="P10" s="24">
        <f t="shared" ref="P10:P14" si="6">N10/O10</f>
        <v>724.98512929898141</v>
      </c>
    </row>
    <row r="11" spans="1:26" ht="15.75" customHeight="1" x14ac:dyDescent="0.25">
      <c r="A11" s="13" t="s">
        <v>20</v>
      </c>
      <c r="B11" s="31" t="s">
        <v>22</v>
      </c>
      <c r="C11" s="33">
        <f t="shared" si="0"/>
        <v>2747.7841341954322</v>
      </c>
      <c r="D11" s="34">
        <f t="shared" si="1"/>
        <v>191884.36691308886</v>
      </c>
      <c r="E11" s="10">
        <v>94881</v>
      </c>
      <c r="F11" s="21">
        <f t="shared" si="2"/>
        <v>-97003.366913088859</v>
      </c>
      <c r="G11" s="136">
        <v>137509</v>
      </c>
      <c r="H11" s="34">
        <f t="shared" si="3"/>
        <v>-54375.366913088859</v>
      </c>
      <c r="I11" s="22">
        <v>1.4319999999999999</v>
      </c>
      <c r="J11" s="23">
        <v>0.91169999999999995</v>
      </c>
      <c r="K11" s="23">
        <v>0.6552</v>
      </c>
      <c r="L11" s="23">
        <f t="shared" si="4"/>
        <v>0.78344999999999998</v>
      </c>
      <c r="M11" s="11">
        <v>2297483</v>
      </c>
      <c r="N11" s="11">
        <f t="shared" si="5"/>
        <v>1799963.05635</v>
      </c>
      <c r="O11" s="12">
        <v>1806</v>
      </c>
      <c r="P11" s="24">
        <f t="shared" si="6"/>
        <v>996.65728480066446</v>
      </c>
    </row>
    <row r="12" spans="1:26" ht="15.75" customHeight="1" x14ac:dyDescent="0.25">
      <c r="A12" s="13" t="s">
        <v>20</v>
      </c>
      <c r="B12" s="31" t="s">
        <v>23</v>
      </c>
      <c r="C12" s="33">
        <f t="shared" si="0"/>
        <v>3029.9430000000002</v>
      </c>
      <c r="D12" s="34">
        <f t="shared" si="1"/>
        <v>149331.83834401183</v>
      </c>
      <c r="E12" s="10">
        <v>94239</v>
      </c>
      <c r="F12" s="21">
        <f t="shared" si="2"/>
        <v>-55092.838344011834</v>
      </c>
      <c r="G12" s="136">
        <v>136578</v>
      </c>
      <c r="H12" s="34">
        <f t="shared" si="3"/>
        <v>-12753.838344011834</v>
      </c>
      <c r="I12" s="22">
        <v>2.0289999999999999</v>
      </c>
      <c r="J12" s="23">
        <v>0.93159999999999998</v>
      </c>
      <c r="K12" s="23">
        <v>0.78210000000000002</v>
      </c>
      <c r="L12" s="23">
        <f t="shared" si="4"/>
        <v>0.85685</v>
      </c>
      <c r="M12" s="11">
        <v>14690502</v>
      </c>
      <c r="N12" s="11">
        <v>12588291</v>
      </c>
      <c r="O12" s="12">
        <v>11464</v>
      </c>
      <c r="P12" s="24">
        <v>1099</v>
      </c>
    </row>
    <row r="13" spans="1:26" ht="15.75" customHeight="1" x14ac:dyDescent="0.25">
      <c r="A13" s="13" t="s">
        <v>20</v>
      </c>
      <c r="B13" s="42" t="s">
        <v>29</v>
      </c>
      <c r="C13" s="33">
        <f t="shared" si="0"/>
        <v>2506.2804763392646</v>
      </c>
      <c r="D13" s="34">
        <f t="shared" si="1"/>
        <v>221012.38768423852</v>
      </c>
      <c r="E13" s="10">
        <v>133784</v>
      </c>
      <c r="F13" s="21">
        <f t="shared" si="2"/>
        <v>-87228.387684238522</v>
      </c>
      <c r="G13" s="136">
        <v>193890</v>
      </c>
      <c r="H13" s="34">
        <f t="shared" si="3"/>
        <v>-27122.387684238522</v>
      </c>
      <c r="I13" s="22">
        <v>1.1339999999999999</v>
      </c>
      <c r="J13" s="23">
        <v>0.94599999999999995</v>
      </c>
      <c r="K13" s="23">
        <v>0.87590000000000001</v>
      </c>
      <c r="L13" s="23">
        <f t="shared" si="4"/>
        <v>0.91094999999999993</v>
      </c>
      <c r="M13" s="11">
        <v>4629379</v>
      </c>
      <c r="N13" s="11">
        <f t="shared" si="5"/>
        <v>4217132.8000499997</v>
      </c>
      <c r="O13" s="12">
        <v>4639</v>
      </c>
      <c r="P13" s="24">
        <f t="shared" si="6"/>
        <v>909.06074586117688</v>
      </c>
    </row>
    <row r="14" spans="1:26" ht="15.75" customHeight="1" thickBot="1" x14ac:dyDescent="0.3">
      <c r="A14" s="14" t="s">
        <v>24</v>
      </c>
      <c r="B14" s="32" t="s">
        <v>25</v>
      </c>
      <c r="C14" s="35">
        <f t="shared" si="0"/>
        <v>1839.8490872737921</v>
      </c>
      <c r="D14" s="36">
        <f t="shared" si="1"/>
        <v>185468.65799130968</v>
      </c>
      <c r="E14" s="15">
        <v>113598</v>
      </c>
      <c r="F14" s="25">
        <f t="shared" si="2"/>
        <v>-71870.657991309679</v>
      </c>
      <c r="G14" s="137">
        <v>164635</v>
      </c>
      <c r="H14" s="36">
        <f t="shared" si="3"/>
        <v>-20833.657991309679</v>
      </c>
      <c r="I14" s="26">
        <v>0.99199999999999999</v>
      </c>
      <c r="J14" s="27">
        <v>0.91379999999999995</v>
      </c>
      <c r="K14" s="27">
        <v>0.80700000000000005</v>
      </c>
      <c r="L14" s="27">
        <f t="shared" si="4"/>
        <v>0.86040000000000005</v>
      </c>
      <c r="M14" s="16">
        <v>3338238</v>
      </c>
      <c r="N14" s="16">
        <f t="shared" si="5"/>
        <v>2872219.9752000002</v>
      </c>
      <c r="O14" s="17">
        <v>4304</v>
      </c>
      <c r="P14" s="28">
        <f t="shared" si="6"/>
        <v>667.3373548327138</v>
      </c>
    </row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</sheetData>
  <mergeCells count="5">
    <mergeCell ref="A3:B3"/>
    <mergeCell ref="A8:B8"/>
    <mergeCell ref="C8:D8"/>
    <mergeCell ref="E8:H8"/>
    <mergeCell ref="I8:P8"/>
  </mergeCells>
  <hyperlinks>
    <hyperlink ref="B12" r:id="rId1" display="http://www.cityofgloucester.org/" xr:uid="{00000000-0004-0000-0000-000000000000}"/>
  </hyperlinks>
  <pageMargins left="0.7" right="0.7" top="0.75" bottom="0.75" header="0" footer="0"/>
  <pageSetup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Z967"/>
  <sheetViews>
    <sheetView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K19" sqref="K19"/>
    </sheetView>
  </sheetViews>
  <sheetFormatPr defaultColWidth="14.42578125" defaultRowHeight="15" customHeight="1" x14ac:dyDescent="0.25"/>
  <cols>
    <col min="1" max="2" width="20.85546875" customWidth="1"/>
    <col min="3" max="4" width="15.85546875" customWidth="1"/>
    <col min="5" max="6" width="15.85546875" hidden="1" customWidth="1"/>
    <col min="7" max="16" width="15.85546875" customWidth="1"/>
    <col min="17" max="26" width="11.42578125" customWidth="1"/>
  </cols>
  <sheetData>
    <row r="1" spans="1:26" ht="18.75" x14ac:dyDescent="0.3">
      <c r="A1" s="41" t="s">
        <v>41</v>
      </c>
    </row>
    <row r="2" spans="1:26" ht="15" customHeight="1" thickBot="1" x14ac:dyDescent="0.3"/>
    <row r="3" spans="1:26" ht="30" customHeight="1" x14ac:dyDescent="0.25">
      <c r="A3" s="115" t="s">
        <v>42</v>
      </c>
      <c r="B3" s="116"/>
    </row>
    <row r="4" spans="1:26" x14ac:dyDescent="0.25">
      <c r="A4" s="1" t="s">
        <v>0</v>
      </c>
      <c r="B4" s="2" t="s">
        <v>1</v>
      </c>
    </row>
    <row r="5" spans="1:26" x14ac:dyDescent="0.25">
      <c r="A5" s="3" t="s">
        <v>2</v>
      </c>
      <c r="B5" s="4">
        <v>2.7570000000000001</v>
      </c>
    </row>
    <row r="6" spans="1:26" ht="15.75" thickBot="1" x14ac:dyDescent="0.3">
      <c r="A6" s="5" t="s">
        <v>3</v>
      </c>
      <c r="B6" s="6">
        <v>0.42499999999999999</v>
      </c>
    </row>
    <row r="7" spans="1:26" ht="7.5" customHeight="1" thickBot="1" x14ac:dyDescent="0.3">
      <c r="A7" s="7"/>
      <c r="B7" s="7"/>
    </row>
    <row r="8" spans="1:26" ht="43.5" customHeight="1" thickBot="1" x14ac:dyDescent="0.3">
      <c r="A8" s="117" t="s">
        <v>4</v>
      </c>
      <c r="B8" s="118"/>
      <c r="C8" s="119" t="s">
        <v>43</v>
      </c>
      <c r="D8" s="120"/>
      <c r="E8" s="121" t="s">
        <v>5</v>
      </c>
      <c r="F8" s="122"/>
      <c r="G8" s="122"/>
      <c r="H8" s="120"/>
      <c r="I8" s="126" t="s">
        <v>26</v>
      </c>
      <c r="J8" s="118"/>
      <c r="K8" s="118"/>
      <c r="L8" s="118"/>
      <c r="M8" s="118"/>
      <c r="N8" s="118"/>
      <c r="O8" s="118"/>
      <c r="P8" s="125"/>
    </row>
    <row r="9" spans="1:26" ht="72.75" customHeight="1" thickBot="1" x14ac:dyDescent="0.3">
      <c r="A9" s="18" t="s">
        <v>6</v>
      </c>
      <c r="B9" s="29" t="s">
        <v>7</v>
      </c>
      <c r="C9" s="37" t="s">
        <v>8</v>
      </c>
      <c r="D9" s="40" t="s">
        <v>9</v>
      </c>
      <c r="E9" s="39" t="s">
        <v>10</v>
      </c>
      <c r="F9" s="39" t="s">
        <v>11</v>
      </c>
      <c r="G9" s="38" t="s">
        <v>12</v>
      </c>
      <c r="H9" s="40" t="s">
        <v>13</v>
      </c>
      <c r="I9" s="19" t="s">
        <v>27</v>
      </c>
      <c r="J9" s="19" t="s">
        <v>14</v>
      </c>
      <c r="K9" s="19" t="s">
        <v>15</v>
      </c>
      <c r="L9" s="19" t="s">
        <v>16</v>
      </c>
      <c r="M9" s="19" t="s">
        <v>17</v>
      </c>
      <c r="N9" s="19" t="s">
        <v>28</v>
      </c>
      <c r="O9" s="19" t="s">
        <v>18</v>
      </c>
      <c r="P9" s="20" t="s">
        <v>19</v>
      </c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5">
      <c r="A10" s="9" t="s">
        <v>20</v>
      </c>
      <c r="B10" s="30" t="s">
        <v>21</v>
      </c>
      <c r="C10" s="33">
        <f t="shared" ref="C10:C14" si="0">$B$5*P10</f>
        <v>1998.7840014772919</v>
      </c>
      <c r="D10" s="34">
        <f t="shared" ref="D10:D14" si="1">C10/(I10/100)</f>
        <v>207127.87580075566</v>
      </c>
      <c r="E10" s="10">
        <v>129554</v>
      </c>
      <c r="F10" s="21">
        <f t="shared" ref="F10:F14" si="2">E10-D10</f>
        <v>-77573.875800755661</v>
      </c>
      <c r="G10" s="136">
        <v>187760</v>
      </c>
      <c r="H10" s="34">
        <f t="shared" ref="H10:H14" si="3">G10-D10</f>
        <v>-19367.875800755661</v>
      </c>
      <c r="I10" s="22">
        <v>0.96499999999999997</v>
      </c>
      <c r="J10" s="23">
        <v>0.95250000000000001</v>
      </c>
      <c r="K10" s="23">
        <v>0.77510000000000001</v>
      </c>
      <c r="L10" s="23">
        <f t="shared" ref="L10:L14" si="4">(J10+K10)/2</f>
        <v>0.86380000000000001</v>
      </c>
      <c r="M10" s="11">
        <v>9805512</v>
      </c>
      <c r="N10" s="11">
        <f t="shared" ref="N10:N14" si="5">L10*M10</f>
        <v>8470001.2655999996</v>
      </c>
      <c r="O10" s="12">
        <v>11683</v>
      </c>
      <c r="P10" s="24">
        <f t="shared" ref="P10:P14" si="6">N10/O10</f>
        <v>724.98512929898141</v>
      </c>
    </row>
    <row r="11" spans="1:26" ht="15.75" customHeight="1" x14ac:dyDescent="0.25">
      <c r="A11" s="13" t="s">
        <v>20</v>
      </c>
      <c r="B11" s="31" t="s">
        <v>22</v>
      </c>
      <c r="C11" s="33">
        <f t="shared" si="0"/>
        <v>2747.7841341954322</v>
      </c>
      <c r="D11" s="34">
        <f t="shared" si="1"/>
        <v>191884.36691308886</v>
      </c>
      <c r="E11" s="10">
        <v>94881</v>
      </c>
      <c r="F11" s="21">
        <f t="shared" si="2"/>
        <v>-97003.366913088859</v>
      </c>
      <c r="G11" s="136">
        <v>137509</v>
      </c>
      <c r="H11" s="34">
        <f t="shared" si="3"/>
        <v>-54375.366913088859</v>
      </c>
      <c r="I11" s="22">
        <v>1.4319999999999999</v>
      </c>
      <c r="J11" s="23">
        <v>0.91169999999999995</v>
      </c>
      <c r="K11" s="23">
        <v>0.6552</v>
      </c>
      <c r="L11" s="23">
        <f t="shared" si="4"/>
        <v>0.78344999999999998</v>
      </c>
      <c r="M11" s="11">
        <v>2297483</v>
      </c>
      <c r="N11" s="11">
        <f t="shared" si="5"/>
        <v>1799963.05635</v>
      </c>
      <c r="O11" s="12">
        <v>1806</v>
      </c>
      <c r="P11" s="24">
        <f t="shared" si="6"/>
        <v>996.65728480066446</v>
      </c>
    </row>
    <row r="12" spans="1:26" ht="15.75" customHeight="1" x14ac:dyDescent="0.25">
      <c r="A12" s="13" t="s">
        <v>20</v>
      </c>
      <c r="B12" s="31" t="s">
        <v>23</v>
      </c>
      <c r="C12" s="33">
        <f t="shared" si="0"/>
        <v>3029.9430000000002</v>
      </c>
      <c r="D12" s="34">
        <f t="shared" si="1"/>
        <v>149331.83834401183</v>
      </c>
      <c r="E12" s="10">
        <v>94239</v>
      </c>
      <c r="F12" s="21">
        <f t="shared" si="2"/>
        <v>-55092.838344011834</v>
      </c>
      <c r="G12" s="136">
        <v>136578</v>
      </c>
      <c r="H12" s="34">
        <f t="shared" si="3"/>
        <v>-12753.838344011834</v>
      </c>
      <c r="I12" s="22">
        <v>2.0289999999999999</v>
      </c>
      <c r="J12" s="23">
        <v>0.93159999999999998</v>
      </c>
      <c r="K12" s="23">
        <v>0.78210000000000002</v>
      </c>
      <c r="L12" s="23">
        <f t="shared" si="4"/>
        <v>0.85685</v>
      </c>
      <c r="M12" s="11">
        <v>14690502</v>
      </c>
      <c r="N12" s="11">
        <v>12588291</v>
      </c>
      <c r="O12" s="12">
        <v>11464</v>
      </c>
      <c r="P12" s="24">
        <v>1099</v>
      </c>
    </row>
    <row r="13" spans="1:26" ht="15.75" customHeight="1" x14ac:dyDescent="0.25">
      <c r="A13" s="13" t="s">
        <v>20</v>
      </c>
      <c r="B13" s="42" t="s">
        <v>29</v>
      </c>
      <c r="C13" s="33">
        <f t="shared" si="0"/>
        <v>2506.2804763392646</v>
      </c>
      <c r="D13" s="34">
        <f t="shared" si="1"/>
        <v>221012.38768423852</v>
      </c>
      <c r="E13" s="10">
        <v>133784</v>
      </c>
      <c r="F13" s="21">
        <f t="shared" si="2"/>
        <v>-87228.387684238522</v>
      </c>
      <c r="G13" s="136">
        <v>193890</v>
      </c>
      <c r="H13" s="34">
        <f t="shared" si="3"/>
        <v>-27122.387684238522</v>
      </c>
      <c r="I13" s="22">
        <v>1.1339999999999999</v>
      </c>
      <c r="J13" s="23">
        <v>0.94599999999999995</v>
      </c>
      <c r="K13" s="23">
        <v>0.87590000000000001</v>
      </c>
      <c r="L13" s="23">
        <f t="shared" si="4"/>
        <v>0.91094999999999993</v>
      </c>
      <c r="M13" s="11">
        <v>4629379</v>
      </c>
      <c r="N13" s="11">
        <f t="shared" si="5"/>
        <v>4217132.8000499997</v>
      </c>
      <c r="O13" s="12">
        <v>4639</v>
      </c>
      <c r="P13" s="24">
        <f t="shared" si="6"/>
        <v>909.06074586117688</v>
      </c>
    </row>
    <row r="14" spans="1:26" ht="15.75" customHeight="1" thickBot="1" x14ac:dyDescent="0.3">
      <c r="A14" s="14" t="s">
        <v>24</v>
      </c>
      <c r="B14" s="32" t="s">
        <v>25</v>
      </c>
      <c r="C14" s="35">
        <f t="shared" si="0"/>
        <v>1839.8490872737921</v>
      </c>
      <c r="D14" s="36">
        <f t="shared" si="1"/>
        <v>185468.65799130968</v>
      </c>
      <c r="E14" s="15">
        <v>113598</v>
      </c>
      <c r="F14" s="25">
        <f t="shared" si="2"/>
        <v>-71870.657991309679</v>
      </c>
      <c r="G14" s="137">
        <v>164635</v>
      </c>
      <c r="H14" s="36">
        <f t="shared" si="3"/>
        <v>-20833.657991309679</v>
      </c>
      <c r="I14" s="26">
        <v>0.99199999999999999</v>
      </c>
      <c r="J14" s="27">
        <v>0.91379999999999995</v>
      </c>
      <c r="K14" s="27">
        <v>0.80700000000000005</v>
      </c>
      <c r="L14" s="27">
        <f t="shared" si="4"/>
        <v>0.86040000000000005</v>
      </c>
      <c r="M14" s="16">
        <v>3338238</v>
      </c>
      <c r="N14" s="16">
        <f t="shared" si="5"/>
        <v>2872219.9752000002</v>
      </c>
      <c r="O14" s="17">
        <v>4304</v>
      </c>
      <c r="P14" s="28">
        <f t="shared" si="6"/>
        <v>667.3373548327138</v>
      </c>
    </row>
    <row r="15" spans="1:26" ht="15.75" customHeight="1" x14ac:dyDescent="0.25"/>
    <row r="16" spans="1:26" ht="15.75" customHeight="1" x14ac:dyDescent="0.25"/>
    <row r="17" spans="12:12" ht="15.75" customHeight="1" x14ac:dyDescent="0.25"/>
    <row r="18" spans="12:12" ht="15.75" customHeight="1" x14ac:dyDescent="0.25">
      <c r="L18" s="135"/>
    </row>
    <row r="19" spans="12:12" ht="15.75" customHeight="1" x14ac:dyDescent="0.25"/>
    <row r="20" spans="12:12" ht="15.75" customHeight="1" x14ac:dyDescent="0.25">
      <c r="L20" s="135"/>
    </row>
    <row r="21" spans="12:12" ht="15.75" customHeight="1" x14ac:dyDescent="0.25">
      <c r="L21" s="135"/>
    </row>
    <row r="22" spans="12:12" ht="15.75" customHeight="1" x14ac:dyDescent="0.25">
      <c r="L22" s="135"/>
    </row>
    <row r="23" spans="12:12" ht="15.75" customHeight="1" x14ac:dyDescent="0.25">
      <c r="L23" s="135"/>
    </row>
    <row r="24" spans="12:12" ht="15.75" customHeight="1" x14ac:dyDescent="0.25"/>
    <row r="25" spans="12:12" ht="15.75" customHeight="1" x14ac:dyDescent="0.25">
      <c r="L25" s="135"/>
    </row>
    <row r="26" spans="12:12" ht="15.75" customHeight="1" x14ac:dyDescent="0.25"/>
    <row r="27" spans="12:12" ht="15.75" customHeight="1" x14ac:dyDescent="0.25">
      <c r="L27" s="135"/>
    </row>
    <row r="28" spans="12:12" ht="15.75" customHeight="1" x14ac:dyDescent="0.25">
      <c r="L28" s="135"/>
    </row>
    <row r="29" spans="12:12" ht="15.75" customHeight="1" x14ac:dyDescent="0.25">
      <c r="L29" s="135"/>
    </row>
    <row r="30" spans="12:12" ht="15.75" customHeight="1" x14ac:dyDescent="0.25">
      <c r="L30" s="135"/>
    </row>
    <row r="31" spans="12:12" ht="15.75" customHeight="1" x14ac:dyDescent="0.25"/>
    <row r="32" spans="1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</sheetData>
  <mergeCells count="5">
    <mergeCell ref="A3:B3"/>
    <mergeCell ref="A8:B8"/>
    <mergeCell ref="C8:D8"/>
    <mergeCell ref="E8:H8"/>
    <mergeCell ref="I8:P8"/>
  </mergeCells>
  <hyperlinks>
    <hyperlink ref="B12" r:id="rId1" display="http://www.cityofgloucester.org/" xr:uid="{00000000-0004-0000-0100-000000000000}"/>
  </hyperlinks>
  <pageMargins left="0.7" right="0.7" top="0.75" bottom="0.75" header="0" footer="0"/>
  <pageSetup scale="52"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C3C2-B51C-4DD8-8620-029FF5392CF3}">
  <sheetPr>
    <tabColor rgb="FF002060"/>
    <pageSetUpPr fitToPage="1"/>
  </sheetPr>
  <dimension ref="A1:Z997"/>
  <sheetViews>
    <sheetView zoomScale="90" zoomScaleNormal="90" workbookViewId="0">
      <pane xSplit="2" ySplit="9" topLeftCell="C11" activePane="bottomRight" state="frozen"/>
      <selection pane="topRight" activeCell="C1" sqref="C1"/>
      <selection pane="bottomLeft" activeCell="A10" sqref="A10"/>
      <selection pane="bottomRight" activeCell="C8" sqref="C8:F8"/>
    </sheetView>
  </sheetViews>
  <sheetFormatPr defaultColWidth="14.42578125" defaultRowHeight="15" customHeight="1" x14ac:dyDescent="0.25"/>
  <cols>
    <col min="1" max="2" width="20.85546875" style="43" customWidth="1"/>
    <col min="3" max="6" width="15.85546875" style="43" customWidth="1"/>
    <col min="7" max="8" width="15.85546875" style="43" hidden="1" customWidth="1"/>
    <col min="9" max="10" width="15.85546875" style="43" customWidth="1"/>
    <col min="11" max="21" width="15.85546875" style="43" hidden="1" customWidth="1"/>
    <col min="22" max="22" width="11.42578125" style="43" hidden="1" customWidth="1"/>
    <col min="23" max="26" width="11.42578125" style="43" customWidth="1"/>
    <col min="27" max="16384" width="14.42578125" style="43"/>
  </cols>
  <sheetData>
    <row r="1" spans="1:26" ht="18.75" x14ac:dyDescent="0.3">
      <c r="A1" s="41" t="s">
        <v>41</v>
      </c>
    </row>
    <row r="2" spans="1:26" ht="15" customHeight="1" thickBot="1" x14ac:dyDescent="0.3"/>
    <row r="3" spans="1:26" ht="30" customHeight="1" x14ac:dyDescent="0.25">
      <c r="A3" s="115" t="s">
        <v>42</v>
      </c>
      <c r="B3" s="116"/>
    </row>
    <row r="4" spans="1:26" x14ac:dyDescent="0.25">
      <c r="A4" s="44" t="s">
        <v>0</v>
      </c>
      <c r="B4" s="45" t="s">
        <v>1</v>
      </c>
    </row>
    <row r="5" spans="1:26" x14ac:dyDescent="0.25">
      <c r="A5" s="46" t="s">
        <v>2</v>
      </c>
      <c r="B5" s="4">
        <v>2.7570000000000001</v>
      </c>
    </row>
    <row r="6" spans="1:26" ht="15.75" thickBot="1" x14ac:dyDescent="0.3">
      <c r="A6" s="47" t="s">
        <v>3</v>
      </c>
      <c r="B6" s="6">
        <v>0.42499999999999999</v>
      </c>
    </row>
    <row r="7" spans="1:26" ht="15.75" thickBot="1" x14ac:dyDescent="0.3">
      <c r="A7" s="48"/>
      <c r="B7" s="48"/>
      <c r="G7" s="96"/>
      <c r="H7" s="96"/>
    </row>
    <row r="8" spans="1:26" ht="31.5" customHeight="1" thickBot="1" x14ac:dyDescent="0.3">
      <c r="A8" s="127" t="s">
        <v>4</v>
      </c>
      <c r="B8" s="128"/>
      <c r="C8" s="129" t="s">
        <v>44</v>
      </c>
      <c r="D8" s="130"/>
      <c r="E8" s="130"/>
      <c r="F8" s="131"/>
      <c r="G8" s="129" t="s">
        <v>5</v>
      </c>
      <c r="H8" s="130"/>
      <c r="I8" s="130"/>
      <c r="J8" s="131"/>
      <c r="K8" s="132" t="s">
        <v>30</v>
      </c>
      <c r="L8" s="128"/>
      <c r="M8" s="128"/>
      <c r="N8" s="128"/>
      <c r="O8" s="128"/>
      <c r="P8" s="128"/>
      <c r="Q8" s="128"/>
      <c r="R8" s="128"/>
      <c r="S8" s="128"/>
      <c r="T8" s="128"/>
      <c r="U8" s="133"/>
    </row>
    <row r="9" spans="1:26" ht="64.5" customHeight="1" thickBot="1" x14ac:dyDescent="0.3">
      <c r="A9" s="50" t="s">
        <v>6</v>
      </c>
      <c r="B9" s="89" t="s">
        <v>7</v>
      </c>
      <c r="C9" s="90" t="s">
        <v>8</v>
      </c>
      <c r="D9" s="52" t="s">
        <v>31</v>
      </c>
      <c r="E9" s="53" t="s">
        <v>32</v>
      </c>
      <c r="F9" s="57" t="s">
        <v>9</v>
      </c>
      <c r="G9" s="54" t="s">
        <v>10</v>
      </c>
      <c r="H9" s="54" t="s">
        <v>11</v>
      </c>
      <c r="I9" s="55" t="s">
        <v>12</v>
      </c>
      <c r="J9" s="56" t="s">
        <v>13</v>
      </c>
      <c r="K9" s="51" t="s">
        <v>33</v>
      </c>
      <c r="L9" s="55" t="s">
        <v>14</v>
      </c>
      <c r="M9" s="55" t="s">
        <v>15</v>
      </c>
      <c r="N9" s="55" t="s">
        <v>16</v>
      </c>
      <c r="O9" s="55" t="s">
        <v>34</v>
      </c>
      <c r="P9" s="55" t="s">
        <v>35</v>
      </c>
      <c r="Q9" s="55" t="s">
        <v>36</v>
      </c>
      <c r="R9" s="55" t="s">
        <v>37</v>
      </c>
      <c r="S9" s="55" t="s">
        <v>38</v>
      </c>
      <c r="T9" s="55" t="s">
        <v>39</v>
      </c>
      <c r="U9" s="57" t="s">
        <v>40</v>
      </c>
      <c r="V9" s="58"/>
      <c r="W9" s="58"/>
      <c r="X9" s="58"/>
      <c r="Y9" s="58"/>
      <c r="Z9" s="58"/>
    </row>
    <row r="10" spans="1:26" hidden="1" x14ac:dyDescent="0.25">
      <c r="A10" s="59" t="s">
        <v>20</v>
      </c>
      <c r="B10" s="60" t="s">
        <v>21</v>
      </c>
      <c r="C10" s="91">
        <f t="shared" ref="C10:C14" si="0">$B$5*R10</f>
        <v>1998.7840014772919</v>
      </c>
      <c r="D10" s="62">
        <f t="shared" ref="D10:D14" si="1">U10*$B$6</f>
        <v>0</v>
      </c>
      <c r="E10" s="61">
        <f t="shared" ref="E10:E14" si="2">C10+D10</f>
        <v>1998.7840014772919</v>
      </c>
      <c r="F10" s="98">
        <f t="shared" ref="F10:F14" si="3">E10/(K10/100)</f>
        <v>84802.036549736615</v>
      </c>
      <c r="G10" s="61">
        <v>129554</v>
      </c>
      <c r="H10" s="62">
        <f t="shared" ref="H10:H14" si="4">G10-F10</f>
        <v>44751.963450263385</v>
      </c>
      <c r="I10" s="63">
        <v>187760</v>
      </c>
      <c r="J10" s="64">
        <f t="shared" ref="J10:J14" si="5">I10-F10</f>
        <v>102957.96345026339</v>
      </c>
      <c r="K10" s="43">
        <v>2.3570000000000002</v>
      </c>
      <c r="L10" s="65">
        <v>0.95250000000000001</v>
      </c>
      <c r="M10" s="66">
        <v>0.77510000000000001</v>
      </c>
      <c r="N10" s="66">
        <f t="shared" ref="N10:N14" si="6">(L10+M10)/2</f>
        <v>0.86380000000000001</v>
      </c>
      <c r="O10" s="67">
        <v>9805512</v>
      </c>
      <c r="P10" s="67">
        <f t="shared" ref="P10:P14" si="7">N10*O10</f>
        <v>8470001.2655999996</v>
      </c>
      <c r="Q10" s="68">
        <v>11683</v>
      </c>
      <c r="R10" s="67">
        <f t="shared" ref="R10:R14" si="8">P10/Q10</f>
        <v>724.98512929898141</v>
      </c>
      <c r="S10" s="67"/>
      <c r="T10" s="69"/>
      <c r="U10" s="70"/>
    </row>
    <row r="11" spans="1:26" x14ac:dyDescent="0.25">
      <c r="A11" s="71" t="s">
        <v>20</v>
      </c>
      <c r="B11" s="72" t="s">
        <v>22</v>
      </c>
      <c r="C11" s="91">
        <f t="shared" si="0"/>
        <v>2747.7841341954322</v>
      </c>
      <c r="D11" s="73">
        <f t="shared" si="1"/>
        <v>2511.75</v>
      </c>
      <c r="E11" s="61">
        <f t="shared" si="2"/>
        <v>5259.5341341954318</v>
      </c>
      <c r="F11" s="93">
        <f t="shared" si="3"/>
        <v>219055.9822655324</v>
      </c>
      <c r="G11" s="61">
        <v>94881</v>
      </c>
      <c r="H11" s="61">
        <f t="shared" si="4"/>
        <v>-124174.9822655324</v>
      </c>
      <c r="I11" s="109">
        <v>137509</v>
      </c>
      <c r="J11" s="110">
        <f t="shared" si="5"/>
        <v>-81546.982265532395</v>
      </c>
      <c r="K11" s="99">
        <v>2.4009999999999998</v>
      </c>
      <c r="L11" s="100">
        <v>0.91170000000000007</v>
      </c>
      <c r="M11" s="100">
        <v>0.6552</v>
      </c>
      <c r="N11" s="100">
        <f t="shared" si="6"/>
        <v>0.78344999999999998</v>
      </c>
      <c r="O11" s="101">
        <v>2297483</v>
      </c>
      <c r="P11" s="101">
        <f t="shared" si="7"/>
        <v>1799963.05635</v>
      </c>
      <c r="Q11" s="102">
        <v>1806</v>
      </c>
      <c r="R11" s="101">
        <f t="shared" si="8"/>
        <v>996.65728480066446</v>
      </c>
      <c r="S11" s="101">
        <v>1554520</v>
      </c>
      <c r="T11" s="102">
        <v>263</v>
      </c>
      <c r="U11" s="103">
        <v>5910</v>
      </c>
    </row>
    <row r="12" spans="1:26" x14ac:dyDescent="0.25">
      <c r="A12" s="71" t="s">
        <v>20</v>
      </c>
      <c r="B12" s="72" t="s">
        <v>23</v>
      </c>
      <c r="C12" s="91">
        <f t="shared" si="0"/>
        <v>3029.9430000000002</v>
      </c>
      <c r="D12" s="73">
        <f t="shared" si="1"/>
        <v>1195.95</v>
      </c>
      <c r="E12" s="61">
        <f t="shared" si="2"/>
        <v>4225.893</v>
      </c>
      <c r="F12" s="93">
        <f t="shared" si="3"/>
        <v>142863.1845841785</v>
      </c>
      <c r="G12" s="61">
        <v>94239</v>
      </c>
      <c r="H12" s="61">
        <f t="shared" si="4"/>
        <v>-48624.184584178496</v>
      </c>
      <c r="I12" s="111">
        <v>136578</v>
      </c>
      <c r="J12" s="112">
        <f t="shared" si="5"/>
        <v>-6285.1845841784962</v>
      </c>
      <c r="K12" s="104">
        <v>2.9580000000000002</v>
      </c>
      <c r="L12" s="87">
        <v>0.93159999999999998</v>
      </c>
      <c r="M12" s="87">
        <v>0.78209999999999991</v>
      </c>
      <c r="N12" s="87">
        <f t="shared" si="6"/>
        <v>0.85684999999999989</v>
      </c>
      <c r="O12" s="67">
        <v>14690502</v>
      </c>
      <c r="P12" s="11">
        <v>12588291</v>
      </c>
      <c r="Q12" s="68">
        <v>11464</v>
      </c>
      <c r="R12" s="67">
        <v>1099</v>
      </c>
      <c r="S12" s="67">
        <v>6724337</v>
      </c>
      <c r="T12" s="68">
        <v>2390</v>
      </c>
      <c r="U12" s="88">
        <v>2814</v>
      </c>
    </row>
    <row r="13" spans="1:26" ht="15.75" thickBot="1" x14ac:dyDescent="0.3">
      <c r="A13" s="74" t="s">
        <v>20</v>
      </c>
      <c r="B13" s="75" t="s">
        <v>29</v>
      </c>
      <c r="C13" s="94">
        <f t="shared" si="0"/>
        <v>2506.2804763392646</v>
      </c>
      <c r="D13" s="77">
        <f t="shared" si="1"/>
        <v>7007.8249999999998</v>
      </c>
      <c r="E13" s="76">
        <f t="shared" si="2"/>
        <v>9514.105476339264</v>
      </c>
      <c r="F13" s="95">
        <f t="shared" si="3"/>
        <v>331386.46730544284</v>
      </c>
      <c r="G13" s="61">
        <v>133784</v>
      </c>
      <c r="H13" s="61">
        <f t="shared" si="4"/>
        <v>-197602.46730544284</v>
      </c>
      <c r="I13" s="113">
        <v>193890</v>
      </c>
      <c r="J13" s="114">
        <f t="shared" si="5"/>
        <v>-137496.46730544284</v>
      </c>
      <c r="K13" s="105">
        <v>2.871</v>
      </c>
      <c r="L13" s="106">
        <v>0.94599999999999995</v>
      </c>
      <c r="M13" s="106">
        <v>0.87590000000000001</v>
      </c>
      <c r="N13" s="106">
        <f t="shared" si="6"/>
        <v>0.91094999999999993</v>
      </c>
      <c r="O13" s="83">
        <v>4629379</v>
      </c>
      <c r="P13" s="83">
        <f t="shared" si="7"/>
        <v>4217132.8000499997</v>
      </c>
      <c r="Q13" s="84">
        <v>4639</v>
      </c>
      <c r="R13" s="83">
        <f t="shared" si="8"/>
        <v>909.06074586117688</v>
      </c>
      <c r="S13" s="83">
        <v>7090693</v>
      </c>
      <c r="T13" s="84">
        <v>430</v>
      </c>
      <c r="U13" s="107">
        <v>16489</v>
      </c>
    </row>
    <row r="14" spans="1:26" ht="15.75" hidden="1" thickBot="1" x14ac:dyDescent="0.3">
      <c r="A14" s="74" t="s">
        <v>24</v>
      </c>
      <c r="B14" s="75" t="s">
        <v>25</v>
      </c>
      <c r="C14" s="76">
        <f t="shared" si="0"/>
        <v>1785.1069479964683</v>
      </c>
      <c r="D14" s="77">
        <f t="shared" si="1"/>
        <v>0</v>
      </c>
      <c r="E14" s="76">
        <f t="shared" si="2"/>
        <v>1785.1069479964683</v>
      </c>
      <c r="F14" s="77">
        <f t="shared" si="3"/>
        <v>62263.932612363737</v>
      </c>
      <c r="G14" s="76">
        <v>113598</v>
      </c>
      <c r="H14" s="77">
        <f t="shared" si="4"/>
        <v>51334.067387636263</v>
      </c>
      <c r="I14" s="78">
        <v>164635</v>
      </c>
      <c r="J14" s="79">
        <f t="shared" si="5"/>
        <v>102371.06738763626</v>
      </c>
      <c r="K14" s="80">
        <v>2.867</v>
      </c>
      <c r="L14" s="81">
        <v>0.86260000000000003</v>
      </c>
      <c r="M14" s="82">
        <v>0.80700000000000005</v>
      </c>
      <c r="N14" s="82">
        <f t="shared" si="6"/>
        <v>0.83479999999999999</v>
      </c>
      <c r="O14" s="83">
        <v>3338238</v>
      </c>
      <c r="P14" s="83">
        <f t="shared" si="7"/>
        <v>2786761.0823999997</v>
      </c>
      <c r="Q14" s="84">
        <v>4304</v>
      </c>
      <c r="R14" s="83">
        <f t="shared" si="8"/>
        <v>647.48166412639398</v>
      </c>
      <c r="S14" s="83"/>
      <c r="T14" s="85"/>
      <c r="U14" s="86"/>
    </row>
    <row r="15" spans="1:26" x14ac:dyDescent="0.25"/>
    <row r="16" spans="1:26" x14ac:dyDescent="0.25"/>
    <row r="17" x14ac:dyDescent="0.25"/>
    <row r="18" x14ac:dyDescent="0.25"/>
    <row r="19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5">
    <mergeCell ref="A3:B3"/>
    <mergeCell ref="A8:B8"/>
    <mergeCell ref="C8:F8"/>
    <mergeCell ref="G8:J8"/>
    <mergeCell ref="K8:U8"/>
  </mergeCells>
  <hyperlinks>
    <hyperlink ref="B12" r:id="rId1" display="http://www.cityofgloucester.org/" xr:uid="{338D0612-CDD2-4CAA-867C-DF0E154E43CE}"/>
  </hyperlinks>
  <pageMargins left="0.7" right="0.7" top="0.75" bottom="0.7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CA86-BF80-4B86-A0B0-B125D123D6B5}">
  <sheetPr>
    <tabColor rgb="FF002060"/>
    <pageSetUpPr fitToPage="1"/>
  </sheetPr>
  <dimension ref="A1:Z997"/>
  <sheetViews>
    <sheetView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8" sqref="C8:F8"/>
    </sheetView>
  </sheetViews>
  <sheetFormatPr defaultColWidth="14.42578125" defaultRowHeight="15" customHeight="1" x14ac:dyDescent="0.25"/>
  <cols>
    <col min="1" max="2" width="20.85546875" style="43" customWidth="1"/>
    <col min="3" max="6" width="15.85546875" style="43" customWidth="1"/>
    <col min="7" max="8" width="15.85546875" style="43" hidden="1" customWidth="1"/>
    <col min="9" max="21" width="15.85546875" style="43" customWidth="1"/>
    <col min="22" max="26" width="11.42578125" style="43" customWidth="1"/>
    <col min="27" max="16384" width="14.42578125" style="43"/>
  </cols>
  <sheetData>
    <row r="1" spans="1:26" ht="18.75" x14ac:dyDescent="0.3">
      <c r="A1" s="41" t="s">
        <v>41</v>
      </c>
    </row>
    <row r="2" spans="1:26" ht="15" customHeight="1" thickBot="1" x14ac:dyDescent="0.3"/>
    <row r="3" spans="1:26" ht="30" customHeight="1" x14ac:dyDescent="0.25">
      <c r="A3" s="115" t="s">
        <v>42</v>
      </c>
      <c r="B3" s="116"/>
    </row>
    <row r="4" spans="1:26" x14ac:dyDescent="0.25">
      <c r="A4" s="44" t="s">
        <v>0</v>
      </c>
      <c r="B4" s="45" t="s">
        <v>1</v>
      </c>
    </row>
    <row r="5" spans="1:26" x14ac:dyDescent="0.25">
      <c r="A5" s="46" t="s">
        <v>2</v>
      </c>
      <c r="B5" s="4">
        <v>2.7570000000000001</v>
      </c>
    </row>
    <row r="6" spans="1:26" ht="15.75" thickBot="1" x14ac:dyDescent="0.3">
      <c r="A6" s="47" t="s">
        <v>3</v>
      </c>
      <c r="B6" s="6">
        <v>0.42499999999999999</v>
      </c>
    </row>
    <row r="7" spans="1:26" ht="15.75" thickBot="1" x14ac:dyDescent="0.3">
      <c r="A7" s="48"/>
      <c r="B7" s="48"/>
      <c r="G7" s="49"/>
      <c r="H7" s="49"/>
    </row>
    <row r="8" spans="1:26" ht="31.5" customHeight="1" thickBot="1" x14ac:dyDescent="0.3">
      <c r="A8" s="127" t="s">
        <v>4</v>
      </c>
      <c r="B8" s="128"/>
      <c r="C8" s="129" t="s">
        <v>44</v>
      </c>
      <c r="D8" s="130"/>
      <c r="E8" s="130"/>
      <c r="F8" s="131"/>
      <c r="G8" s="132" t="s">
        <v>5</v>
      </c>
      <c r="H8" s="128"/>
      <c r="I8" s="128"/>
      <c r="J8" s="133"/>
      <c r="K8" s="127" t="s">
        <v>30</v>
      </c>
      <c r="L8" s="128"/>
      <c r="M8" s="128"/>
      <c r="N8" s="128"/>
      <c r="O8" s="128"/>
      <c r="P8" s="128"/>
      <c r="Q8" s="128"/>
      <c r="R8" s="128"/>
      <c r="S8" s="128"/>
      <c r="T8" s="128"/>
      <c r="U8" s="133"/>
    </row>
    <row r="9" spans="1:26" ht="64.5" customHeight="1" thickBot="1" x14ac:dyDescent="0.3">
      <c r="A9" s="97" t="s">
        <v>6</v>
      </c>
      <c r="B9" s="108" t="s">
        <v>7</v>
      </c>
      <c r="C9" s="55" t="s">
        <v>8</v>
      </c>
      <c r="D9" s="57" t="s">
        <v>31</v>
      </c>
      <c r="E9" s="90" t="s">
        <v>32</v>
      </c>
      <c r="F9" s="52" t="s">
        <v>9</v>
      </c>
      <c r="G9" s="54" t="s">
        <v>10</v>
      </c>
      <c r="H9" s="54" t="s">
        <v>11</v>
      </c>
      <c r="I9" s="55" t="s">
        <v>12</v>
      </c>
      <c r="J9" s="57" t="s">
        <v>13</v>
      </c>
      <c r="K9" s="55" t="s">
        <v>33</v>
      </c>
      <c r="L9" s="55" t="s">
        <v>14</v>
      </c>
      <c r="M9" s="55" t="s">
        <v>15</v>
      </c>
      <c r="N9" s="55" t="s">
        <v>16</v>
      </c>
      <c r="O9" s="55" t="s">
        <v>34</v>
      </c>
      <c r="P9" s="55" t="s">
        <v>35</v>
      </c>
      <c r="Q9" s="55" t="s">
        <v>36</v>
      </c>
      <c r="R9" s="55" t="s">
        <v>37</v>
      </c>
      <c r="S9" s="55" t="s">
        <v>38</v>
      </c>
      <c r="T9" s="55" t="s">
        <v>39</v>
      </c>
      <c r="U9" s="57" t="s">
        <v>40</v>
      </c>
      <c r="V9" s="58"/>
      <c r="W9" s="58"/>
      <c r="X9" s="58"/>
      <c r="Y9" s="58"/>
      <c r="Z9" s="58"/>
    </row>
    <row r="10" spans="1:26" ht="15.75" hidden="1" thickBot="1" x14ac:dyDescent="0.3">
      <c r="A10" s="71" t="s">
        <v>20</v>
      </c>
      <c r="B10" s="72" t="s">
        <v>21</v>
      </c>
      <c r="C10" s="91">
        <f t="shared" ref="C10:C14" si="0">$B$5*R10</f>
        <v>1998.7840014772919</v>
      </c>
      <c r="D10" s="98">
        <f t="shared" ref="D10:D14" si="1">U10*$B$6</f>
        <v>0</v>
      </c>
      <c r="E10" s="91">
        <f t="shared" ref="E10:E14" si="2">C10+D10</f>
        <v>1998.7840014772919</v>
      </c>
      <c r="F10" s="62">
        <f t="shared" ref="F10:F14" si="3">E10/(K10/100)</f>
        <v>84802.036549736615</v>
      </c>
      <c r="G10" s="61">
        <v>129554</v>
      </c>
      <c r="H10" s="62">
        <f t="shared" ref="H10:H14" si="4">G10-F10</f>
        <v>44751.963450263385</v>
      </c>
      <c r="I10" s="63">
        <v>187760</v>
      </c>
      <c r="J10" s="92">
        <f t="shared" ref="J10:J14" si="5">I10-F10</f>
        <v>102957.96345026339</v>
      </c>
      <c r="K10" s="43">
        <v>2.3570000000000002</v>
      </c>
      <c r="L10" s="65">
        <v>0.95250000000000001</v>
      </c>
      <c r="M10" s="66">
        <v>0.77510000000000001</v>
      </c>
      <c r="N10" s="66">
        <f t="shared" ref="N10:N14" si="6">(L10+M10)/2</f>
        <v>0.86380000000000001</v>
      </c>
      <c r="O10" s="67">
        <v>9805512</v>
      </c>
      <c r="P10" s="67">
        <f t="shared" ref="P10:P14" si="7">N10*O10</f>
        <v>8470001.2655999996</v>
      </c>
      <c r="Q10" s="68">
        <v>11683</v>
      </c>
      <c r="R10" s="67">
        <f t="shared" ref="R10:R14" si="8">P10/Q10</f>
        <v>724.98512929898141</v>
      </c>
      <c r="S10" s="67"/>
      <c r="T10" s="69"/>
      <c r="U10" s="70"/>
    </row>
    <row r="11" spans="1:26" x14ac:dyDescent="0.25">
      <c r="A11" s="71" t="s">
        <v>20</v>
      </c>
      <c r="B11" s="72" t="s">
        <v>22</v>
      </c>
      <c r="C11" s="91">
        <f t="shared" si="0"/>
        <v>2747.7841341954322</v>
      </c>
      <c r="D11" s="93">
        <f t="shared" si="1"/>
        <v>2511.75</v>
      </c>
      <c r="E11" s="91">
        <f t="shared" si="2"/>
        <v>5259.5341341954318</v>
      </c>
      <c r="F11" s="73">
        <f t="shared" si="3"/>
        <v>219055.9822655324</v>
      </c>
      <c r="G11" s="61">
        <v>94881</v>
      </c>
      <c r="H11" s="73">
        <f t="shared" si="4"/>
        <v>-124174.9822655324</v>
      </c>
      <c r="I11" s="61">
        <v>137509</v>
      </c>
      <c r="J11" s="93">
        <f t="shared" si="5"/>
        <v>-81546.982265532395</v>
      </c>
      <c r="K11" s="99">
        <v>2.4009999999999998</v>
      </c>
      <c r="L11" s="100">
        <v>0.91170000000000007</v>
      </c>
      <c r="M11" s="100">
        <v>0.6552</v>
      </c>
      <c r="N11" s="100">
        <f t="shared" si="6"/>
        <v>0.78344999999999998</v>
      </c>
      <c r="O11" s="101">
        <v>2297483</v>
      </c>
      <c r="P11" s="101">
        <f t="shared" si="7"/>
        <v>1799963.05635</v>
      </c>
      <c r="Q11" s="102">
        <v>1806</v>
      </c>
      <c r="R11" s="101">
        <f t="shared" si="8"/>
        <v>996.65728480066446</v>
      </c>
      <c r="S11" s="101">
        <v>1554520</v>
      </c>
      <c r="T11" s="102">
        <v>263</v>
      </c>
      <c r="U11" s="103">
        <v>5910</v>
      </c>
    </row>
    <row r="12" spans="1:26" x14ac:dyDescent="0.25">
      <c r="A12" s="71" t="s">
        <v>20</v>
      </c>
      <c r="B12" s="72" t="s">
        <v>23</v>
      </c>
      <c r="C12" s="91">
        <f t="shared" si="0"/>
        <v>3029.9430000000002</v>
      </c>
      <c r="D12" s="93">
        <f t="shared" si="1"/>
        <v>1195.95</v>
      </c>
      <c r="E12" s="91">
        <f t="shared" si="2"/>
        <v>4225.893</v>
      </c>
      <c r="F12" s="73">
        <f t="shared" si="3"/>
        <v>142863.1845841785</v>
      </c>
      <c r="G12" s="61">
        <v>94239</v>
      </c>
      <c r="H12" s="73">
        <f t="shared" si="4"/>
        <v>-48624.184584178496</v>
      </c>
      <c r="I12" s="61">
        <v>136578</v>
      </c>
      <c r="J12" s="93">
        <f t="shared" si="5"/>
        <v>-6285.1845841784962</v>
      </c>
      <c r="K12" s="104">
        <v>2.9580000000000002</v>
      </c>
      <c r="L12" s="87">
        <v>0.93159999999999998</v>
      </c>
      <c r="M12" s="87">
        <v>0.78209999999999991</v>
      </c>
      <c r="N12" s="87">
        <f t="shared" si="6"/>
        <v>0.85684999999999989</v>
      </c>
      <c r="O12" s="67">
        <v>14690502</v>
      </c>
      <c r="P12" s="11">
        <v>12588291</v>
      </c>
      <c r="Q12" s="68">
        <v>11464</v>
      </c>
      <c r="R12" s="67">
        <v>1099</v>
      </c>
      <c r="S12" s="67">
        <v>6724337</v>
      </c>
      <c r="T12" s="68">
        <v>2390</v>
      </c>
      <c r="U12" s="88">
        <v>2814</v>
      </c>
    </row>
    <row r="13" spans="1:26" ht="15.75" thickBot="1" x14ac:dyDescent="0.3">
      <c r="A13" s="74" t="s">
        <v>20</v>
      </c>
      <c r="B13" s="75" t="s">
        <v>29</v>
      </c>
      <c r="C13" s="94">
        <f t="shared" si="0"/>
        <v>2506.2804763392646</v>
      </c>
      <c r="D13" s="95">
        <f t="shared" si="1"/>
        <v>7007.8249999999998</v>
      </c>
      <c r="E13" s="94">
        <f t="shared" si="2"/>
        <v>9514.105476339264</v>
      </c>
      <c r="F13" s="77">
        <f t="shared" si="3"/>
        <v>331386.46730544284</v>
      </c>
      <c r="G13" s="76">
        <v>133784</v>
      </c>
      <c r="H13" s="77">
        <f t="shared" si="4"/>
        <v>-197602.46730544284</v>
      </c>
      <c r="I13" s="76">
        <v>193890</v>
      </c>
      <c r="J13" s="95">
        <f t="shared" si="5"/>
        <v>-137496.46730544284</v>
      </c>
      <c r="K13" s="105">
        <v>2.871</v>
      </c>
      <c r="L13" s="106">
        <v>0.94599999999999995</v>
      </c>
      <c r="M13" s="106">
        <v>0.87590000000000001</v>
      </c>
      <c r="N13" s="106">
        <f t="shared" si="6"/>
        <v>0.91094999999999993</v>
      </c>
      <c r="O13" s="83">
        <v>4629379</v>
      </c>
      <c r="P13" s="83">
        <f t="shared" si="7"/>
        <v>4217132.8000499997</v>
      </c>
      <c r="Q13" s="84">
        <v>4639</v>
      </c>
      <c r="R13" s="83">
        <f t="shared" si="8"/>
        <v>909.06074586117688</v>
      </c>
      <c r="S13" s="83">
        <v>7090693</v>
      </c>
      <c r="T13" s="84">
        <v>430</v>
      </c>
      <c r="U13" s="107">
        <v>16489</v>
      </c>
    </row>
    <row r="14" spans="1:26" ht="15.75" hidden="1" thickBot="1" x14ac:dyDescent="0.3">
      <c r="A14" s="74" t="s">
        <v>24</v>
      </c>
      <c r="B14" s="75" t="s">
        <v>25</v>
      </c>
      <c r="C14" s="76">
        <f t="shared" si="0"/>
        <v>1785.1069479964683</v>
      </c>
      <c r="D14" s="77">
        <f t="shared" si="1"/>
        <v>0</v>
      </c>
      <c r="E14" s="76">
        <f t="shared" si="2"/>
        <v>1785.1069479964683</v>
      </c>
      <c r="F14" s="77">
        <f t="shared" si="3"/>
        <v>62263.932612363737</v>
      </c>
      <c r="G14" s="76">
        <v>113598</v>
      </c>
      <c r="H14" s="77">
        <f t="shared" si="4"/>
        <v>51334.067387636263</v>
      </c>
      <c r="I14" s="78">
        <v>164635</v>
      </c>
      <c r="J14" s="79">
        <f t="shared" si="5"/>
        <v>102371.06738763626</v>
      </c>
      <c r="K14" s="80">
        <v>2.867</v>
      </c>
      <c r="L14" s="81">
        <v>0.86260000000000003</v>
      </c>
      <c r="M14" s="82">
        <v>0.80700000000000005</v>
      </c>
      <c r="N14" s="82">
        <f t="shared" si="6"/>
        <v>0.83479999999999999</v>
      </c>
      <c r="O14" s="83">
        <v>3338238</v>
      </c>
      <c r="P14" s="83">
        <f t="shared" si="7"/>
        <v>2786761.0823999997</v>
      </c>
      <c r="Q14" s="84">
        <v>4304</v>
      </c>
      <c r="R14" s="83">
        <f t="shared" si="8"/>
        <v>647.48166412639398</v>
      </c>
      <c r="S14" s="83"/>
      <c r="T14" s="85"/>
      <c r="U14" s="86"/>
    </row>
    <row r="15" spans="1:26" x14ac:dyDescent="0.25"/>
    <row r="16" spans="1:26" ht="15.75" x14ac:dyDescent="0.25">
      <c r="O16" s="135"/>
      <c r="P16" s="135"/>
      <c r="Q16" s="135"/>
      <c r="R16" s="135"/>
      <c r="S16" s="135"/>
      <c r="T16" s="135"/>
    </row>
    <row r="17" spans="16:19" ht="15.75" x14ac:dyDescent="0.25">
      <c r="P17" s="135"/>
      <c r="Q17"/>
      <c r="R17" s="135"/>
      <c r="S17" s="135"/>
    </row>
    <row r="18" spans="16:19" ht="15.75" x14ac:dyDescent="0.25">
      <c r="P18" s="135"/>
    </row>
    <row r="19" spans="16:19" x14ac:dyDescent="0.25">
      <c r="P19" s="134"/>
    </row>
    <row r="20" spans="16:19" ht="15.75" customHeight="1" x14ac:dyDescent="0.25"/>
    <row r="21" spans="16:19" ht="15.75" customHeight="1" x14ac:dyDescent="0.25">
      <c r="R21" s="135"/>
    </row>
    <row r="22" spans="16:19" ht="15.75" customHeight="1" x14ac:dyDescent="0.25"/>
    <row r="23" spans="16:19" ht="15.75" customHeight="1" x14ac:dyDescent="0.25"/>
    <row r="24" spans="16:19" ht="15.75" customHeight="1" x14ac:dyDescent="0.25">
      <c r="Q24"/>
    </row>
    <row r="25" spans="16:19" ht="15.75" customHeight="1" x14ac:dyDescent="0.25">
      <c r="Q25" s="135"/>
    </row>
    <row r="26" spans="16:19" ht="15.75" customHeight="1" x14ac:dyDescent="0.25"/>
    <row r="27" spans="16:19" ht="15.75" customHeight="1" x14ac:dyDescent="0.25"/>
    <row r="28" spans="16:19" ht="15.75" customHeight="1" x14ac:dyDescent="0.25"/>
    <row r="29" spans="16:19" ht="15.75" customHeight="1" x14ac:dyDescent="0.25"/>
    <row r="30" spans="16:19" ht="15.75" customHeight="1" x14ac:dyDescent="0.25"/>
    <row r="31" spans="16:19" ht="15.75" customHeight="1" x14ac:dyDescent="0.25"/>
    <row r="32" spans="16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5">
    <mergeCell ref="A3:B3"/>
    <mergeCell ref="A8:B8"/>
    <mergeCell ref="C8:F8"/>
    <mergeCell ref="G8:J8"/>
    <mergeCell ref="K8:U8"/>
  </mergeCells>
  <hyperlinks>
    <hyperlink ref="B12" r:id="rId1" display="http://www.cityofgloucester.org/" xr:uid="{AA838486-9D37-4C38-A011-A175001F2A84}"/>
  </hyperlinks>
  <pageMargins left="0.7" right="0.7" top="0.75" bottom="0.75" header="0" footer="0"/>
  <pageSetup scale="3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Table1_Muni</vt:lpstr>
      <vt:lpstr>Table2_Muni</vt:lpstr>
      <vt:lpstr>Table1_school</vt:lpstr>
      <vt:lpstr>Table2_school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Listokin</dc:creator>
  <cp:lastModifiedBy>Umer Farooq</cp:lastModifiedBy>
  <cp:lastPrinted>2024-05-20T19:19:26Z</cp:lastPrinted>
  <dcterms:created xsi:type="dcterms:W3CDTF">2024-05-13T19:44:46Z</dcterms:created>
  <dcterms:modified xsi:type="dcterms:W3CDTF">2024-05-23T13:31:10Z</dcterms:modified>
</cp:coreProperties>
</file>